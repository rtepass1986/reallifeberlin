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allifeberlin.sharepoint.com/sites/reallifeberlin/Freigegebene Dokumente/General/"/>
    </mc:Choice>
  </mc:AlternateContent>
  <xr:revisionPtr revIDLastSave="1592" documentId="13_ncr:1_{947F2F59-A934-49DE-B2F2-2880F1A1836A}" xr6:coauthVersionLast="47" xr6:coauthVersionMax="47" xr10:uidLastSave="{613C9DDD-715B-4455-B987-E0E5C0C4F740}"/>
  <bookViews>
    <workbookView xWindow="-110" yWindow="-110" windowWidth="19420" windowHeight="10300" xr2:uid="{7C4418B0-C6B0-4C66-9BBB-734A5B3584F2}"/>
  </bookViews>
  <sheets>
    <sheet name="Gottesdienste" sheetId="2" r:id="rId1"/>
    <sheet name="Community Events" sheetId="4" r:id="rId2"/>
    <sheet name="FUTURE" sheetId="6" r:id="rId3"/>
    <sheet name="Rathenow" sheetId="7" r:id="rId4"/>
    <sheet name="Community Sundays" sheetId="1" r:id="rId5"/>
    <sheet name="Friends &amp; Food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7" l="1"/>
  <c r="U2" i="7"/>
  <c r="V2" i="7"/>
  <c r="W2" i="7"/>
  <c r="X2" i="7"/>
  <c r="CA2" i="2"/>
  <c r="CB2" i="2"/>
  <c r="CC2" i="2"/>
  <c r="CD2" i="2"/>
  <c r="BW2" i="2"/>
  <c r="BX2" i="2"/>
  <c r="BY2" i="2"/>
  <c r="BZ2" i="2"/>
  <c r="Q2" i="7"/>
  <c r="BU2" i="2"/>
  <c r="BV2" i="2"/>
  <c r="BQ2" i="2"/>
  <c r="BR2" i="2"/>
  <c r="BS2" i="2"/>
  <c r="BP2" i="2"/>
  <c r="BO2" i="2"/>
  <c r="BM2" i="2"/>
  <c r="BN2" i="2"/>
  <c r="BI2" i="2"/>
  <c r="BJ2" i="2"/>
  <c r="BK2" i="2"/>
  <c r="BL2" i="2"/>
  <c r="E2" i="7"/>
  <c r="C2" i="7"/>
  <c r="D2" i="7"/>
  <c r="F2" i="7"/>
  <c r="G2" i="7"/>
  <c r="H2" i="7"/>
  <c r="I2" i="7"/>
  <c r="J2" i="7"/>
  <c r="K2" i="7"/>
  <c r="L2" i="7"/>
  <c r="M2" i="7"/>
  <c r="N2" i="7"/>
  <c r="P2" i="7"/>
  <c r="R2" i="7"/>
  <c r="S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2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U2" i="2"/>
  <c r="R2" i="2"/>
  <c r="BE2" i="2"/>
  <c r="BF2" i="2"/>
  <c r="BG2" i="2"/>
  <c r="BH2" i="2"/>
  <c r="BD2" i="2"/>
  <c r="BC2" i="2"/>
  <c r="AZ2" i="2"/>
  <c r="BA2" i="2"/>
  <c r="BB2" i="2"/>
  <c r="AX2" i="2"/>
  <c r="AY2" i="2"/>
  <c r="AV2" i="2"/>
  <c r="AW2" i="2"/>
  <c r="AT2" i="2"/>
  <c r="AU2" i="2"/>
  <c r="AQ2" i="2"/>
  <c r="AR2" i="2"/>
  <c r="AS2" i="2"/>
  <c r="AP2" i="2"/>
  <c r="AL2" i="2"/>
  <c r="AM2" i="2"/>
  <c r="AN2" i="2"/>
  <c r="AO2" i="2"/>
  <c r="AH2" i="2"/>
  <c r="AI2" i="2"/>
  <c r="AJ2" i="2"/>
  <c r="AK2" i="2"/>
  <c r="AG2" i="2"/>
  <c r="AF2" i="2"/>
  <c r="AD2" i="2"/>
  <c r="AE2" i="2"/>
  <c r="AC2" i="2"/>
  <c r="X33" i="3"/>
  <c r="Y33" i="3"/>
  <c r="AA33" i="3"/>
  <c r="AB33" i="3"/>
  <c r="AC33" i="3"/>
  <c r="X34" i="3"/>
  <c r="Y34" i="3"/>
  <c r="AA34" i="3"/>
  <c r="AB34" i="3"/>
  <c r="AC34" i="3"/>
  <c r="X35" i="3"/>
  <c r="Y35" i="3"/>
  <c r="AA35" i="3"/>
  <c r="AB35" i="3"/>
  <c r="AC35" i="3"/>
  <c r="X36" i="3"/>
  <c r="Y36" i="3"/>
  <c r="AA36" i="3"/>
  <c r="AB36" i="3"/>
  <c r="AC36" i="3"/>
  <c r="X37" i="3"/>
  <c r="Y37" i="3"/>
  <c r="AA37" i="3"/>
  <c r="AB37" i="3"/>
  <c r="AC37" i="3"/>
  <c r="W33" i="3"/>
  <c r="W34" i="3"/>
  <c r="W35" i="3"/>
  <c r="W36" i="3"/>
  <c r="W37" i="3"/>
  <c r="AA2" i="2"/>
  <c r="AB2" i="2"/>
  <c r="Y2" i="2"/>
  <c r="Z2" i="2"/>
  <c r="V33" i="3"/>
  <c r="V34" i="3"/>
  <c r="V35" i="3"/>
  <c r="V36" i="3"/>
  <c r="V37" i="3"/>
  <c r="U37" i="3"/>
  <c r="U36" i="3"/>
  <c r="U35" i="3"/>
  <c r="U34" i="3"/>
  <c r="U33" i="3"/>
  <c r="B2" i="6"/>
  <c r="G2" i="6"/>
  <c r="F2" i="6"/>
  <c r="E2" i="6"/>
  <c r="D2" i="6"/>
  <c r="C2" i="6"/>
  <c r="T33" i="3"/>
  <c r="P33" i="3"/>
  <c r="T37" i="3"/>
  <c r="T36" i="3"/>
  <c r="T35" i="3"/>
  <c r="T34" i="3"/>
  <c r="V2" i="2"/>
  <c r="W2" i="2"/>
  <c r="X2" i="2"/>
  <c r="T2" i="2"/>
  <c r="P37" i="3"/>
  <c r="Q37" i="3"/>
  <c r="R37" i="3"/>
  <c r="S37" i="3"/>
  <c r="P36" i="3"/>
  <c r="Q36" i="3"/>
  <c r="R36" i="3"/>
  <c r="S36" i="3"/>
  <c r="P35" i="3"/>
  <c r="Q35" i="3"/>
  <c r="R35" i="3"/>
  <c r="S35" i="3"/>
  <c r="P34" i="3"/>
  <c r="Q34" i="3"/>
  <c r="S34" i="3"/>
  <c r="Q33" i="3"/>
  <c r="R33" i="3"/>
  <c r="S33" i="3"/>
  <c r="S2" i="2"/>
  <c r="O37" i="3"/>
  <c r="O36" i="3"/>
  <c r="O35" i="3"/>
  <c r="O34" i="3"/>
  <c r="O33" i="3"/>
  <c r="Q2" i="2"/>
  <c r="N37" i="3"/>
  <c r="P2" i="2"/>
  <c r="M37" i="3"/>
  <c r="M36" i="3"/>
  <c r="N36" i="3"/>
  <c r="M35" i="3"/>
  <c r="N35" i="3"/>
  <c r="M34" i="3"/>
  <c r="N34" i="3"/>
  <c r="M33" i="3"/>
  <c r="N2" i="2"/>
  <c r="K37" i="3"/>
  <c r="K36" i="3"/>
  <c r="K35" i="3"/>
  <c r="K34" i="3"/>
  <c r="N33" i="3"/>
  <c r="K33" i="3"/>
  <c r="M2" i="2"/>
  <c r="L2" i="2"/>
  <c r="B2" i="4"/>
  <c r="E2" i="2"/>
  <c r="C36" i="3"/>
  <c r="C35" i="3"/>
  <c r="D35" i="3"/>
  <c r="E35" i="3"/>
  <c r="F35" i="3"/>
  <c r="G35" i="3"/>
  <c r="H35" i="3"/>
  <c r="I35" i="3"/>
  <c r="J35" i="3"/>
  <c r="B35" i="3"/>
  <c r="C37" i="3"/>
  <c r="D37" i="3"/>
  <c r="E37" i="3"/>
  <c r="F37" i="3"/>
  <c r="G37" i="3"/>
  <c r="H37" i="3"/>
  <c r="I37" i="3"/>
  <c r="J37" i="3"/>
  <c r="D36" i="3"/>
  <c r="E36" i="3"/>
  <c r="F36" i="3"/>
  <c r="G36" i="3"/>
  <c r="H36" i="3"/>
  <c r="I36" i="3"/>
  <c r="J36" i="3"/>
  <c r="C34" i="3"/>
  <c r="D34" i="3"/>
  <c r="E34" i="3"/>
  <c r="F34" i="3"/>
  <c r="G34" i="3"/>
  <c r="H34" i="3"/>
  <c r="I34" i="3"/>
  <c r="J34" i="3"/>
  <c r="C33" i="3"/>
  <c r="D33" i="3"/>
  <c r="E33" i="3"/>
  <c r="F33" i="3"/>
  <c r="G33" i="3"/>
  <c r="H33" i="3"/>
  <c r="I33" i="3"/>
  <c r="J33" i="3"/>
  <c r="B33" i="3"/>
  <c r="B37" i="3"/>
  <c r="B36" i="3"/>
  <c r="B34" i="3"/>
  <c r="D2" i="2"/>
  <c r="F2" i="2"/>
  <c r="G2" i="2"/>
  <c r="H2" i="2"/>
  <c r="I2" i="2"/>
  <c r="J2" i="2"/>
  <c r="K2" i="2"/>
  <c r="C2" i="2"/>
  <c r="K8" i="1"/>
  <c r="K2" i="1"/>
  <c r="J8" i="1"/>
  <c r="I8" i="1"/>
  <c r="H8" i="1"/>
  <c r="G8" i="1"/>
  <c r="F8" i="1"/>
  <c r="E8" i="1"/>
  <c r="E2" i="1"/>
  <c r="B2" i="1"/>
  <c r="C2" i="1"/>
  <c r="D2" i="1"/>
  <c r="D8" i="1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tc={847D3104-578D-407A-8D3C-C81F0204A4CD}</author>
  </authors>
  <commentList>
    <comment ref="AA15" authorId="0" shapeId="0" xr:uid="{847D3104-578D-407A-8D3C-C81F0204A4CD}">
      <text>
        <t>[Threaded comment]
Your version of Excel allows you to read this threaded comment; however, any edits to it will get removed if the file is opened in a newer version of Excel. Learn more: https://go.microsoft.com/fwlink/?linkid=870924
Comment:
    Mitte war bei Lichtenberg</t>
      </text>
    </comment>
  </commentList>
</comments>
</file>

<file path=xl/sharedStrings.xml><?xml version="1.0" encoding="utf-8"?>
<sst xmlns="http://schemas.openxmlformats.org/spreadsheetml/2006/main" count="139" uniqueCount="64">
  <si>
    <t>"Wir zählen, weil jeder zählt."</t>
  </si>
  <si>
    <t>11.06.2023 (GRAND OPENING)</t>
  </si>
  <si>
    <t>Besucher gesamt inkl. Kids</t>
  </si>
  <si>
    <t xml:space="preserve">     Besucher Saal (ohne Kids Church)</t>
  </si>
  <si>
    <t xml:space="preserve">     Kids-Mitarbeiter (+Eltern in Kids Church)</t>
  </si>
  <si>
    <t xml:space="preserve">     Kids in Kids Church</t>
  </si>
  <si>
    <t>Erstbesucher</t>
  </si>
  <si>
    <t>Connectet</t>
  </si>
  <si>
    <t xml:space="preserve">     Persönlich (Kontaktdaten ausgetauscht)</t>
  </si>
  <si>
    <t xml:space="preserve">     Connect-Karte</t>
  </si>
  <si>
    <t>Entscheidungen (Meldungen)</t>
  </si>
  <si>
    <t xml:space="preserve">     Gespräche geführt</t>
  </si>
  <si>
    <t xml:space="preserve">     Davon Erstentscheidungen/Bekehrungen</t>
  </si>
  <si>
    <t>Neues Testament gegeben</t>
  </si>
  <si>
    <t>plus Sommerparty einige mehr (+ca 20-25)</t>
  </si>
  <si>
    <t>Plus Personen, die erst zur Sommerparty kamen (ca. 10-15)</t>
  </si>
  <si>
    <t>27.08.2023 (Sommerparty)</t>
  </si>
  <si>
    <t>13.06.25 (Pura Vida Party)</t>
  </si>
  <si>
    <t>VIPs</t>
  </si>
  <si>
    <t>Besucher gesamt</t>
  </si>
  <si>
    <t xml:space="preserve">     Jugendliche</t>
  </si>
  <si>
    <t xml:space="preserve">     Mitarbeiter</t>
  </si>
  <si>
    <t>Teilnehmer</t>
  </si>
  <si>
    <t>Kids</t>
  </si>
  <si>
    <t>Mitarbeiter</t>
  </si>
  <si>
    <t xml:space="preserve">     Erstbesucher bei FF</t>
  </si>
  <si>
    <t xml:space="preserve">     Erstbesucher bei RL</t>
  </si>
  <si>
    <t xml:space="preserve">     VIPs</t>
  </si>
  <si>
    <t>Event Y/N</t>
  </si>
  <si>
    <t>Y</t>
  </si>
  <si>
    <t>N</t>
  </si>
  <si>
    <t>Sommerpause</t>
  </si>
  <si>
    <t>Durchschnitt Events</t>
  </si>
  <si>
    <t>Durchschnitt F&amp;F</t>
  </si>
  <si>
    <t>Wird ausgefüllt von:</t>
  </si>
  <si>
    <t>Besucher inkl. Kids</t>
  </si>
  <si>
    <t>Automatisch</t>
  </si>
  <si>
    <t xml:space="preserve">     Besucher Saal (ohne Kids-MA &amp; Kids)</t>
  </si>
  <si>
    <t>Zähler</t>
  </si>
  <si>
    <t>Maria</t>
  </si>
  <si>
    <t xml:space="preserve">     Kids</t>
  </si>
  <si>
    <t xml:space="preserve">     Welcome-Tüten ausgegeben</t>
  </si>
  <si>
    <t>4 (2 davon an Leute, die schon mal da waren)</t>
  </si>
  <si>
    <t>Max</t>
  </si>
  <si>
    <t>0 (3 von Leuten, die schon mal da waren)</t>
  </si>
  <si>
    <t>Entscheidungen</t>
  </si>
  <si>
    <t>-</t>
  </si>
  <si>
    <t>07.04.2024.</t>
  </si>
  <si>
    <t>21.04.2024.</t>
  </si>
  <si>
    <t>Moabit/Schöneberg</t>
  </si>
  <si>
    <t xml:space="preserve">     Teilnehmer gesamt</t>
  </si>
  <si>
    <t xml:space="preserve">     davon Kids*</t>
  </si>
  <si>
    <t>Wilmersdorf</t>
  </si>
  <si>
    <t xml:space="preserve">    (davon Kids*)</t>
  </si>
  <si>
    <t>Mitte</t>
  </si>
  <si>
    <t xml:space="preserve">     (davon Kids*)</t>
  </si>
  <si>
    <t>Lichtenberg</t>
  </si>
  <si>
    <t>Tempelhof</t>
  </si>
  <si>
    <t>Teilnehmer insgesamt:</t>
  </si>
  <si>
    <t>Davon Kids insgesamt:</t>
  </si>
  <si>
    <t>Erstbesucher bei F&amp;F:</t>
  </si>
  <si>
    <t>Erstbesucher bei RL:</t>
  </si>
  <si>
    <t>VIPs insgesamt:</t>
  </si>
  <si>
    <t>*Kids: Bis 12 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</si>
</sst>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3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2" fillId="2" borderId="2" xfId="0" applyFont="1" applyFill="1" applyBorder="1"/>
    <xf numFmtId="0" fontId="3" fillId="0" borderId="2" xfId="0" applyFont="1" applyBorder="1"/>
    <xf numFmtId="0" fontId="1" fillId="2" borderId="2" xfId="0" applyFont="1" applyFill="1" applyBorder="1"/>
    <xf numFmtId="0" fontId="0" fillId="0" borderId="2" xfId="0" applyBorder="1"/>
    <xf numFmtId="14" fontId="1" fillId="2" borderId="4" xfId="0" applyNumberFormat="1" applyFont="1" applyFill="1" applyBorder="1"/>
    <xf numFmtId="14" fontId="1" fillId="2" borderId="7" xfId="0" applyNumberFormat="1" applyFont="1" applyFill="1" applyBorder="1"/>
    <xf numFmtId="0" fontId="4" fillId="0" borderId="3" xfId="0" applyFont="1" applyBorder="1"/>
    <xf numFmtId="0" fontId="5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0" fillId="0" borderId="9" xfId="0" applyBorder="1"/>
    <xf numFmtId="0" fontId="2" fillId="2" borderId="9" xfId="0" applyFont="1" applyFill="1" applyBorder="1" applyAlignment="1">
      <alignment horizontal="left" indent="2"/>
    </xf>
    <xf numFmtId="0" fontId="4" fillId="0" borderId="0" xfId="0" applyFont="1"/>
    <xf numFmtId="14" fontId="6" fillId="2" borderId="7" xfId="0" applyNumberFormat="1" applyFont="1" applyFill="1" applyBorder="1"/>
    <xf numFmtId="0" fontId="7" fillId="0" borderId="5" xfId="0" applyFont="1" applyBorder="1"/>
    <xf numFmtId="0" fontId="7" fillId="0" borderId="8" xfId="0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10" xfId="0" applyFont="1" applyBorder="1"/>
    <xf numFmtId="0" fontId="8" fillId="2" borderId="9" xfId="0" applyFont="1" applyFill="1" applyBorder="1"/>
    <xf numFmtId="0" fontId="9" fillId="0" borderId="3" xfId="0" applyFont="1" applyBorder="1"/>
    <xf numFmtId="0" fontId="9" fillId="0" borderId="6" xfId="0" applyFont="1" applyBorder="1"/>
    <xf numFmtId="0" fontId="10" fillId="0" borderId="1" xfId="0" applyFont="1" applyBorder="1"/>
    <xf numFmtId="0" fontId="1" fillId="0" borderId="1" xfId="0" applyFont="1" applyBorder="1"/>
    <xf numFmtId="14" fontId="1" fillId="2" borderId="0" xfId="0" applyNumberFormat="1" applyFont="1" applyFill="1"/>
    <xf numFmtId="0" fontId="7" fillId="0" borderId="2" xfId="0" applyFont="1" applyBorder="1"/>
    <xf numFmtId="0" fontId="7" fillId="0" borderId="1" xfId="0" applyFont="1" applyBorder="1"/>
    <xf numFmtId="14" fontId="9" fillId="2" borderId="0" xfId="0" applyNumberFormat="1" applyFont="1" applyFill="1"/>
    <xf numFmtId="0" fontId="4" fillId="0" borderId="1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9" xfId="0" applyFont="1" applyBorder="1"/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9" fillId="0" borderId="0" xfId="0" applyFont="1"/>
    <xf numFmtId="0" fontId="11" fillId="2" borderId="9" xfId="0" applyFont="1" applyFill="1" applyBorder="1"/>
    <xf numFmtId="14" fontId="9" fillId="2" borderId="6" xfId="0" applyNumberFormat="1" applyFont="1" applyFill="1" applyBorder="1"/>
    <xf numFmtId="14" fontId="9" fillId="2" borderId="3" xfId="0" applyNumberFormat="1" applyFont="1" applyFill="1" applyBorder="1"/>
    <xf numFmtId="0" fontId="4" fillId="2" borderId="0" xfId="0" applyFont="1" applyFill="1"/>
    <xf numFmtId="0" fontId="9" fillId="2" borderId="0" xfId="0" applyFont="1" applyFill="1"/>
    <xf numFmtId="0" fontId="9" fillId="2" borderId="3" xfId="0" applyFont="1" applyFill="1" applyBorder="1"/>
    <xf numFmtId="0" fontId="4" fillId="2" borderId="2" xfId="0" applyFont="1" applyFill="1" applyBorder="1"/>
    <xf numFmtId="0" fontId="4" fillId="0" borderId="8" xfId="0" applyFont="1" applyBorder="1"/>
    <xf numFmtId="0" fontId="4" fillId="0" borderId="5" xfId="0" applyFont="1" applyBorder="1"/>
    <xf numFmtId="0" fontId="4" fillId="2" borderId="11" xfId="0" applyFont="1" applyFill="1" applyBorder="1"/>
    <xf numFmtId="0" fontId="4" fillId="0" borderId="12" xfId="0" applyFont="1" applyBorder="1"/>
    <xf numFmtId="0" fontId="4" fillId="0" borderId="13" xfId="0" applyFont="1" applyBorder="1"/>
    <xf numFmtId="0" fontId="9" fillId="2" borderId="1" xfId="0" applyFont="1" applyFill="1" applyBorder="1"/>
    <xf numFmtId="0" fontId="4" fillId="2" borderId="13" xfId="0" applyFont="1" applyFill="1" applyBorder="1"/>
    <xf numFmtId="0" fontId="4" fillId="0" borderId="14" xfId="0" applyFont="1" applyBorder="1"/>
    <xf numFmtId="14" fontId="0" fillId="0" borderId="0" xfId="0" applyNumberFormat="1"/>
    <xf numFmtId="0" fontId="7" fillId="0" borderId="0" xfId="0" applyFont="1"/>
    <xf numFmtId="0" fontId="9" fillId="0" borderId="1" xfId="0" applyFont="1" applyBorder="1"/>
    <xf numFmtId="0" fontId="1" fillId="2" borderId="0" xfId="0" applyFont="1" applyFill="1"/>
    <xf numFmtId="14" fontId="1" fillId="2" borderId="0" xfId="0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bian Kunzke" id="{D05FC29E-22AD-49B6-9648-140C7F3AB315}" userId="S::fabian.kunzke@reallife-berlin.de::d7ed1cb1-4bc1-4df4-a4cc-56b289c3e2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15" dT="2024-09-17T16:01:01.34" personId="{D05FC29E-22AD-49B6-9648-140C7F3AB315}" id="{847D3104-578D-407A-8D3C-C81F0204A4CD}">
    <text>Mitte war bei Lichtenberg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FD88-A128-49CC-A3C0-9B66271DFF46}">
  <dimension ref="A1:CD17"/>
  <sheetViews>
    <sheetView tabSelected="1" workbookViewId="0">
      <pane xSplit="1" topLeftCell="BR1" activePane="topRight" state="frozen"/>
      <selection pane="topRight" activeCell="BY11" sqref="BY11"/>
      <selection activeCell="A2" sqref="A2"/>
    </sheetView>
  </sheetViews>
  <sheetFormatPr defaultColWidth="11.42578125" defaultRowHeight="14.45"/>
  <cols>
    <col min="1" max="1" width="37.5703125" style="1" customWidth="1"/>
    <col min="2" max="2" width="27" customWidth="1"/>
  </cols>
  <sheetData>
    <row r="1" spans="1:82" s="1" customFormat="1">
      <c r="A1" s="25" t="s">
        <v>0</v>
      </c>
      <c r="B1" s="10" t="s">
        <v>1</v>
      </c>
      <c r="C1" s="11">
        <v>45102</v>
      </c>
      <c r="D1" s="11">
        <v>45116</v>
      </c>
      <c r="E1" s="11">
        <v>45158</v>
      </c>
      <c r="F1" s="11">
        <v>45172</v>
      </c>
      <c r="G1" s="11">
        <v>45186</v>
      </c>
      <c r="H1" s="19">
        <v>45200</v>
      </c>
      <c r="I1" s="19">
        <v>45214</v>
      </c>
      <c r="J1" s="19">
        <v>45228</v>
      </c>
      <c r="K1" s="10">
        <v>45242</v>
      </c>
      <c r="L1" s="30">
        <v>45256</v>
      </c>
      <c r="M1" s="30">
        <v>45270</v>
      </c>
      <c r="N1" s="30">
        <v>45277</v>
      </c>
      <c r="O1" s="13"/>
      <c r="P1" s="30">
        <v>45312</v>
      </c>
      <c r="Q1" s="30">
        <v>45326</v>
      </c>
      <c r="R1" s="30">
        <v>45347</v>
      </c>
      <c r="S1" s="30">
        <v>45354</v>
      </c>
      <c r="T1" s="30">
        <v>45368</v>
      </c>
      <c r="U1" s="30">
        <v>45382</v>
      </c>
      <c r="V1" s="30">
        <v>45396</v>
      </c>
      <c r="W1" s="30">
        <v>45410</v>
      </c>
      <c r="X1" s="30">
        <v>45424</v>
      </c>
      <c r="Y1" s="30">
        <v>45438</v>
      </c>
      <c r="Z1" s="30">
        <v>45452</v>
      </c>
      <c r="AA1" s="30">
        <v>45466</v>
      </c>
      <c r="AB1" s="30">
        <v>45480</v>
      </c>
      <c r="AC1" s="30">
        <v>45494</v>
      </c>
      <c r="AD1" s="30">
        <v>45508</v>
      </c>
      <c r="AE1" s="30">
        <v>45536</v>
      </c>
      <c r="AF1" s="30">
        <v>41897</v>
      </c>
      <c r="AG1" s="30">
        <v>45564</v>
      </c>
      <c r="AH1" s="30">
        <v>45578</v>
      </c>
      <c r="AI1" s="30">
        <v>45585</v>
      </c>
      <c r="AJ1" s="30">
        <v>45592</v>
      </c>
      <c r="AK1" s="30">
        <v>45599</v>
      </c>
      <c r="AL1" s="30">
        <v>45606</v>
      </c>
      <c r="AM1" s="30">
        <v>45613</v>
      </c>
      <c r="AN1" s="30">
        <v>45620</v>
      </c>
      <c r="AO1" s="30">
        <v>45627</v>
      </c>
      <c r="AP1" s="30">
        <v>45634</v>
      </c>
      <c r="AQ1" s="30">
        <v>45641</v>
      </c>
      <c r="AR1" s="30">
        <v>45650</v>
      </c>
      <c r="AS1" s="30">
        <v>45669</v>
      </c>
      <c r="AT1" s="30">
        <v>45676</v>
      </c>
      <c r="AU1" s="30">
        <v>45683</v>
      </c>
      <c r="AV1" s="30">
        <v>45690</v>
      </c>
      <c r="AW1" s="30">
        <v>45697</v>
      </c>
      <c r="AX1" s="30">
        <v>45704</v>
      </c>
      <c r="AY1" s="30">
        <v>45711</v>
      </c>
      <c r="AZ1" s="30">
        <v>45718</v>
      </c>
      <c r="BA1" s="30">
        <v>45725</v>
      </c>
      <c r="BB1" s="30">
        <v>45732</v>
      </c>
      <c r="BC1" s="30">
        <v>45739</v>
      </c>
      <c r="BD1" s="30">
        <v>45746</v>
      </c>
      <c r="BE1" s="30">
        <v>45753</v>
      </c>
      <c r="BF1" s="30">
        <v>45760</v>
      </c>
      <c r="BG1" s="30">
        <v>45767</v>
      </c>
      <c r="BH1" s="30">
        <v>45774</v>
      </c>
      <c r="BI1" s="33">
        <v>45781</v>
      </c>
      <c r="BJ1" s="30">
        <v>45788</v>
      </c>
      <c r="BK1" s="30">
        <v>45795</v>
      </c>
      <c r="BL1" s="30">
        <v>45802</v>
      </c>
      <c r="BM1" s="30">
        <v>45809</v>
      </c>
      <c r="BN1" s="30">
        <v>45816</v>
      </c>
      <c r="BO1" s="30">
        <v>45823</v>
      </c>
      <c r="BP1" s="30">
        <v>45830</v>
      </c>
      <c r="BQ1" s="30">
        <v>45837</v>
      </c>
      <c r="BR1" s="30">
        <v>45844</v>
      </c>
      <c r="BS1" s="60">
        <v>45851</v>
      </c>
      <c r="BT1" s="30">
        <v>45858</v>
      </c>
      <c r="BU1" s="30">
        <v>45865</v>
      </c>
      <c r="BV1" s="30">
        <v>45872</v>
      </c>
      <c r="BW1" s="30">
        <v>45900</v>
      </c>
      <c r="BX1" s="30">
        <v>45907</v>
      </c>
      <c r="BY1" s="30">
        <v>45914</v>
      </c>
      <c r="BZ1" s="30">
        <v>45921</v>
      </c>
      <c r="CA1" s="30">
        <v>45928</v>
      </c>
    </row>
    <row r="2" spans="1:82" s="29" customFormat="1">
      <c r="A2" s="4" t="s">
        <v>2</v>
      </c>
      <c r="B2" s="26">
        <v>204</v>
      </c>
      <c r="C2" s="26">
        <f>SUM(C3:C5)</f>
        <v>61</v>
      </c>
      <c r="D2" s="26">
        <f t="shared" ref="D2:Q2" si="0">SUM(D3:D5)</f>
        <v>67</v>
      </c>
      <c r="E2" s="26">
        <f t="shared" si="0"/>
        <v>81</v>
      </c>
      <c r="F2" s="26">
        <f t="shared" si="0"/>
        <v>46</v>
      </c>
      <c r="G2" s="26">
        <f t="shared" si="0"/>
        <v>62</v>
      </c>
      <c r="H2" s="26">
        <f t="shared" si="0"/>
        <v>55</v>
      </c>
      <c r="I2" s="26">
        <f t="shared" si="0"/>
        <v>75</v>
      </c>
      <c r="J2" s="26">
        <f t="shared" si="0"/>
        <v>72</v>
      </c>
      <c r="K2" s="26">
        <f t="shared" si="0"/>
        <v>75</v>
      </c>
      <c r="L2" s="26">
        <f t="shared" si="0"/>
        <v>43</v>
      </c>
      <c r="M2" s="26">
        <f t="shared" si="0"/>
        <v>63</v>
      </c>
      <c r="N2" s="26">
        <f t="shared" si="0"/>
        <v>113</v>
      </c>
      <c r="O2" s="26"/>
      <c r="P2" s="26">
        <f t="shared" si="0"/>
        <v>75</v>
      </c>
      <c r="Q2" s="26">
        <f t="shared" si="0"/>
        <v>88</v>
      </c>
      <c r="R2" s="26">
        <f>SUM(R3:R5)</f>
        <v>118</v>
      </c>
      <c r="S2" s="26">
        <f>SUM(S3:S5)</f>
        <v>64</v>
      </c>
      <c r="T2" s="26">
        <f>SUM(T3:T5)</f>
        <v>74</v>
      </c>
      <c r="U2" s="26">
        <f>SUM(U3:U5)</f>
        <v>124</v>
      </c>
      <c r="V2" s="26">
        <f t="shared" ref="V2:AK2" si="1">SUM(V3:V5)</f>
        <v>92</v>
      </c>
      <c r="W2" s="26">
        <f t="shared" si="1"/>
        <v>84</v>
      </c>
      <c r="X2" s="26">
        <f t="shared" si="1"/>
        <v>78</v>
      </c>
      <c r="Y2" s="26">
        <f t="shared" si="1"/>
        <v>78</v>
      </c>
      <c r="Z2" s="26">
        <f t="shared" si="1"/>
        <v>84</v>
      </c>
      <c r="AA2" s="26">
        <f t="shared" si="1"/>
        <v>66</v>
      </c>
      <c r="AB2" s="26">
        <f t="shared" si="1"/>
        <v>95</v>
      </c>
      <c r="AC2" s="26">
        <f t="shared" si="1"/>
        <v>69</v>
      </c>
      <c r="AD2" s="26">
        <f t="shared" si="1"/>
        <v>49</v>
      </c>
      <c r="AE2" s="26">
        <f t="shared" si="1"/>
        <v>78</v>
      </c>
      <c r="AF2" s="26">
        <f t="shared" si="1"/>
        <v>80</v>
      </c>
      <c r="AG2" s="26">
        <f t="shared" si="1"/>
        <v>50</v>
      </c>
      <c r="AH2" s="26">
        <f t="shared" si="1"/>
        <v>69</v>
      </c>
      <c r="AI2" s="26">
        <f t="shared" si="1"/>
        <v>79</v>
      </c>
      <c r="AJ2" s="26">
        <f t="shared" si="1"/>
        <v>78</v>
      </c>
      <c r="AK2" s="26">
        <f t="shared" si="1"/>
        <v>94</v>
      </c>
      <c r="AL2" s="26">
        <f>SUM(AL3:AL5)</f>
        <v>78</v>
      </c>
      <c r="AM2" s="26">
        <f>SUM(AM3:AM5)</f>
        <v>81</v>
      </c>
      <c r="AN2" s="26">
        <f>SUM(AN3:AN5)</f>
        <v>73</v>
      </c>
      <c r="AO2" s="29">
        <f>SUM(AO3:AO5)</f>
        <v>65</v>
      </c>
      <c r="AP2" s="29">
        <f>SUM(AP3:AP5)</f>
        <v>46</v>
      </c>
      <c r="AQ2" s="29">
        <f t="shared" ref="AQ2:BB2" si="2">SUM(AQ3:AQ5)</f>
        <v>117</v>
      </c>
      <c r="AR2" s="29">
        <f t="shared" si="2"/>
        <v>87</v>
      </c>
      <c r="AS2" s="29">
        <f t="shared" si="2"/>
        <v>80</v>
      </c>
      <c r="AT2" s="29">
        <f t="shared" si="2"/>
        <v>79</v>
      </c>
      <c r="AU2" s="29">
        <f t="shared" si="2"/>
        <v>80</v>
      </c>
      <c r="AV2" s="29">
        <f t="shared" si="2"/>
        <v>61</v>
      </c>
      <c r="AW2" s="29">
        <f t="shared" si="2"/>
        <v>81</v>
      </c>
      <c r="AX2" s="29">
        <f t="shared" si="2"/>
        <v>72</v>
      </c>
      <c r="AY2" s="29">
        <f t="shared" si="2"/>
        <v>80</v>
      </c>
      <c r="AZ2" s="29">
        <f t="shared" si="2"/>
        <v>78</v>
      </c>
      <c r="BA2" s="29">
        <f t="shared" si="2"/>
        <v>85</v>
      </c>
      <c r="BB2" s="29">
        <f t="shared" si="2"/>
        <v>97</v>
      </c>
      <c r="BC2" s="29">
        <f>SUM(BC3:BC5)</f>
        <v>104</v>
      </c>
      <c r="BD2" s="29">
        <f>SUM(BD3:BD5)</f>
        <v>67</v>
      </c>
      <c r="BE2" s="29">
        <f t="shared" ref="BE2:BN2" si="3">SUM(BE3:BE5)</f>
        <v>85</v>
      </c>
      <c r="BF2" s="29">
        <f t="shared" si="3"/>
        <v>80</v>
      </c>
      <c r="BG2" s="29">
        <f t="shared" si="3"/>
        <v>121</v>
      </c>
      <c r="BH2" s="58">
        <f t="shared" si="3"/>
        <v>76</v>
      </c>
      <c r="BI2" s="58">
        <f t="shared" si="3"/>
        <v>97</v>
      </c>
      <c r="BJ2" s="58">
        <f t="shared" si="3"/>
        <v>60</v>
      </c>
      <c r="BK2" s="29">
        <f t="shared" si="3"/>
        <v>87</v>
      </c>
      <c r="BL2" s="58">
        <f t="shared" si="3"/>
        <v>84</v>
      </c>
      <c r="BM2" s="58">
        <f t="shared" si="3"/>
        <v>70</v>
      </c>
      <c r="BN2" s="58">
        <f t="shared" si="3"/>
        <v>80</v>
      </c>
      <c r="BO2" s="29">
        <f t="shared" ref="BO2:CD2" si="4">SUM(BO3:BO5)</f>
        <v>78</v>
      </c>
      <c r="BP2" s="29">
        <f t="shared" si="4"/>
        <v>90</v>
      </c>
      <c r="BQ2" s="29">
        <f t="shared" si="4"/>
        <v>92</v>
      </c>
      <c r="BR2" s="29">
        <f t="shared" si="4"/>
        <v>103</v>
      </c>
      <c r="BS2" s="29">
        <f t="shared" si="4"/>
        <v>99</v>
      </c>
      <c r="BT2" s="29">
        <v>84</v>
      </c>
      <c r="BU2" s="29">
        <f t="shared" si="4"/>
        <v>77</v>
      </c>
      <c r="BV2" s="29">
        <f t="shared" si="4"/>
        <v>79</v>
      </c>
      <c r="BW2" s="29">
        <f t="shared" si="4"/>
        <v>102</v>
      </c>
      <c r="BX2" s="29">
        <f t="shared" si="4"/>
        <v>100</v>
      </c>
      <c r="BY2" s="29">
        <f t="shared" si="4"/>
        <v>93</v>
      </c>
      <c r="BZ2" s="29">
        <f t="shared" si="4"/>
        <v>0</v>
      </c>
      <c r="CA2" s="29">
        <f t="shared" si="4"/>
        <v>0</v>
      </c>
      <c r="CB2" s="29">
        <f t="shared" si="4"/>
        <v>0</v>
      </c>
      <c r="CC2" s="29">
        <f t="shared" si="4"/>
        <v>0</v>
      </c>
      <c r="CD2" s="29">
        <f t="shared" si="4"/>
        <v>0</v>
      </c>
    </row>
    <row r="3" spans="1:82" s="7" customFormat="1">
      <c r="A3" s="6" t="s">
        <v>3</v>
      </c>
      <c r="B3" s="20">
        <v>183</v>
      </c>
      <c r="C3" s="21">
        <v>50</v>
      </c>
      <c r="D3" s="21">
        <v>57</v>
      </c>
      <c r="E3" s="21">
        <v>71</v>
      </c>
      <c r="F3" s="21">
        <v>38</v>
      </c>
      <c r="G3" s="21">
        <v>54</v>
      </c>
      <c r="H3" s="21">
        <v>44</v>
      </c>
      <c r="I3" s="21">
        <v>60</v>
      </c>
      <c r="J3" s="21">
        <v>59</v>
      </c>
      <c r="K3" s="20">
        <v>63</v>
      </c>
      <c r="L3" s="31">
        <v>28</v>
      </c>
      <c r="M3" s="31">
        <v>48</v>
      </c>
      <c r="N3" s="31">
        <v>94</v>
      </c>
      <c r="O3" s="15"/>
      <c r="P3" s="9">
        <v>64</v>
      </c>
      <c r="Q3" s="9">
        <v>79</v>
      </c>
      <c r="R3" s="35">
        <v>110</v>
      </c>
      <c r="S3" s="35">
        <v>55</v>
      </c>
      <c r="T3" s="35">
        <v>66</v>
      </c>
      <c r="U3" s="35">
        <v>111</v>
      </c>
      <c r="V3" s="35">
        <v>75</v>
      </c>
      <c r="W3" s="35">
        <v>73</v>
      </c>
      <c r="X3" s="35">
        <v>67</v>
      </c>
      <c r="Y3" s="35">
        <v>70</v>
      </c>
      <c r="Z3" s="35">
        <v>74</v>
      </c>
      <c r="AA3" s="35">
        <v>53</v>
      </c>
      <c r="AB3" s="35">
        <v>83</v>
      </c>
      <c r="AC3" s="35">
        <v>60</v>
      </c>
      <c r="AD3" s="35">
        <v>45</v>
      </c>
      <c r="AE3" s="35">
        <v>57</v>
      </c>
      <c r="AF3" s="35">
        <v>65</v>
      </c>
      <c r="AG3" s="35">
        <v>41</v>
      </c>
      <c r="AH3" s="35">
        <v>57</v>
      </c>
      <c r="AI3" s="35">
        <v>67</v>
      </c>
      <c r="AJ3" s="35">
        <v>67</v>
      </c>
      <c r="AK3" s="35">
        <v>81</v>
      </c>
      <c r="AL3" s="35">
        <v>68</v>
      </c>
      <c r="AM3" s="35">
        <v>67</v>
      </c>
      <c r="AN3" s="31">
        <v>59</v>
      </c>
      <c r="AO3" s="35">
        <v>57</v>
      </c>
      <c r="AP3" s="31">
        <v>39</v>
      </c>
      <c r="AQ3" s="31">
        <v>101</v>
      </c>
      <c r="AR3" s="35">
        <v>87</v>
      </c>
      <c r="AS3" s="35">
        <v>70</v>
      </c>
      <c r="AT3" s="35">
        <v>67</v>
      </c>
      <c r="AU3" s="35">
        <v>67</v>
      </c>
      <c r="AV3" s="35">
        <v>56</v>
      </c>
      <c r="AW3" s="35">
        <v>71</v>
      </c>
      <c r="AX3" s="35">
        <v>60</v>
      </c>
      <c r="AY3" s="35">
        <v>69</v>
      </c>
      <c r="AZ3" s="31">
        <v>65</v>
      </c>
      <c r="BA3" s="35">
        <v>70</v>
      </c>
      <c r="BB3" s="35">
        <v>85</v>
      </c>
      <c r="BC3" s="35">
        <v>94</v>
      </c>
      <c r="BD3" s="35">
        <v>67</v>
      </c>
      <c r="BE3" s="35">
        <v>73</v>
      </c>
      <c r="BF3" s="35">
        <v>70</v>
      </c>
      <c r="BG3" s="35">
        <v>110</v>
      </c>
      <c r="BH3" s="35">
        <v>70</v>
      </c>
      <c r="BI3" s="35">
        <v>80</v>
      </c>
      <c r="BJ3" s="35">
        <v>46</v>
      </c>
      <c r="BK3" s="35">
        <v>75</v>
      </c>
      <c r="BL3" s="35">
        <v>73</v>
      </c>
      <c r="BM3" s="35">
        <v>60</v>
      </c>
      <c r="BN3" s="35">
        <v>67</v>
      </c>
      <c r="BO3" s="58">
        <v>67</v>
      </c>
      <c r="BP3" s="35">
        <v>78</v>
      </c>
      <c r="BQ3" s="35">
        <v>80</v>
      </c>
      <c r="BR3" s="35">
        <v>90</v>
      </c>
      <c r="BS3" s="35">
        <v>84</v>
      </c>
      <c r="BT3" s="35">
        <v>65</v>
      </c>
      <c r="BU3" s="35">
        <v>68</v>
      </c>
      <c r="BV3" s="35">
        <v>70</v>
      </c>
      <c r="BW3" s="35">
        <v>90</v>
      </c>
      <c r="BX3" s="7">
        <v>83</v>
      </c>
      <c r="BY3" s="7">
        <v>81</v>
      </c>
    </row>
    <row r="4" spans="1:82" s="7" customFormat="1">
      <c r="A4" s="6" t="s">
        <v>4</v>
      </c>
      <c r="B4" s="20">
        <v>5</v>
      </c>
      <c r="C4" s="21">
        <v>5</v>
      </c>
      <c r="D4" s="21">
        <v>2</v>
      </c>
      <c r="E4" s="21">
        <v>3</v>
      </c>
      <c r="F4" s="21">
        <v>3</v>
      </c>
      <c r="G4" s="21">
        <v>3</v>
      </c>
      <c r="H4" s="21">
        <v>3</v>
      </c>
      <c r="I4" s="21">
        <v>6</v>
      </c>
      <c r="J4" s="21">
        <v>3</v>
      </c>
      <c r="K4" s="20">
        <v>2</v>
      </c>
      <c r="L4" s="31">
        <v>5</v>
      </c>
      <c r="M4" s="31">
        <v>2</v>
      </c>
      <c r="N4" s="31"/>
      <c r="O4" s="15"/>
      <c r="P4" s="9">
        <v>3</v>
      </c>
      <c r="Q4" s="9">
        <v>2</v>
      </c>
      <c r="R4" s="35">
        <v>2</v>
      </c>
      <c r="S4" s="35">
        <v>2</v>
      </c>
      <c r="T4" s="35">
        <v>2</v>
      </c>
      <c r="U4" s="35">
        <v>3</v>
      </c>
      <c r="V4" s="35">
        <v>4</v>
      </c>
      <c r="W4" s="35">
        <v>2</v>
      </c>
      <c r="X4" s="35">
        <v>2</v>
      </c>
      <c r="Y4" s="35">
        <v>2</v>
      </c>
      <c r="Z4" s="35">
        <v>2</v>
      </c>
      <c r="AA4" s="35">
        <v>2</v>
      </c>
      <c r="AB4" s="35">
        <v>2</v>
      </c>
      <c r="AC4" s="35">
        <v>2</v>
      </c>
      <c r="AD4" s="35">
        <v>1</v>
      </c>
      <c r="AE4" s="35">
        <v>4</v>
      </c>
      <c r="AF4" s="35">
        <v>2</v>
      </c>
      <c r="AG4" s="35">
        <v>2</v>
      </c>
      <c r="AH4" s="35">
        <v>3</v>
      </c>
      <c r="AI4" s="35">
        <v>3</v>
      </c>
      <c r="AJ4" s="31">
        <v>2</v>
      </c>
      <c r="AK4" s="35">
        <v>2</v>
      </c>
      <c r="AL4" s="9">
        <v>2</v>
      </c>
      <c r="AM4" s="9">
        <v>4</v>
      </c>
      <c r="AN4" s="31">
        <v>5</v>
      </c>
      <c r="AO4" s="35">
        <v>2</v>
      </c>
      <c r="AP4" s="31">
        <v>2</v>
      </c>
      <c r="AQ4" s="31">
        <v>7</v>
      </c>
      <c r="AS4" s="35">
        <v>2</v>
      </c>
      <c r="AT4" s="35">
        <v>4</v>
      </c>
      <c r="AU4" s="35">
        <v>2</v>
      </c>
      <c r="AV4" s="35">
        <v>2</v>
      </c>
      <c r="AW4" s="35">
        <v>4</v>
      </c>
      <c r="AX4" s="35">
        <v>3</v>
      </c>
      <c r="AY4" s="35">
        <v>3</v>
      </c>
      <c r="AZ4" s="31">
        <v>2</v>
      </c>
      <c r="BA4" s="9">
        <v>3</v>
      </c>
      <c r="BB4" s="9">
        <v>2</v>
      </c>
      <c r="BC4" s="35">
        <v>3</v>
      </c>
      <c r="BD4" s="35">
        <v>0</v>
      </c>
      <c r="BE4" s="35">
        <v>2</v>
      </c>
      <c r="BF4" s="35">
        <v>2</v>
      </c>
      <c r="BG4" s="35">
        <v>5</v>
      </c>
      <c r="BH4" s="35">
        <v>2</v>
      </c>
      <c r="BI4" s="35">
        <v>5</v>
      </c>
      <c r="BJ4" s="35">
        <v>3</v>
      </c>
      <c r="BK4" s="35">
        <v>2</v>
      </c>
      <c r="BL4" s="35">
        <v>2</v>
      </c>
      <c r="BM4" s="35">
        <v>2</v>
      </c>
      <c r="BN4" s="35">
        <v>4</v>
      </c>
      <c r="BO4" s="35">
        <v>4</v>
      </c>
      <c r="BP4" s="35">
        <v>4</v>
      </c>
      <c r="BQ4" s="35">
        <v>2</v>
      </c>
      <c r="BR4" s="35">
        <v>3</v>
      </c>
      <c r="BS4" s="35">
        <v>2</v>
      </c>
      <c r="BT4" s="35">
        <v>3</v>
      </c>
      <c r="BU4" s="31">
        <v>2</v>
      </c>
      <c r="BV4" s="31">
        <v>2</v>
      </c>
      <c r="BW4" s="31">
        <v>2</v>
      </c>
      <c r="BX4" s="31">
        <v>5</v>
      </c>
      <c r="BY4" s="31">
        <v>2</v>
      </c>
    </row>
    <row r="5" spans="1:82" s="7" customFormat="1">
      <c r="A5" s="6" t="s">
        <v>5</v>
      </c>
      <c r="B5" s="20">
        <v>16</v>
      </c>
      <c r="C5" s="21">
        <v>6</v>
      </c>
      <c r="D5" s="21">
        <v>8</v>
      </c>
      <c r="E5" s="21">
        <v>7</v>
      </c>
      <c r="F5" s="21">
        <v>5</v>
      </c>
      <c r="G5" s="21">
        <v>5</v>
      </c>
      <c r="H5" s="21">
        <v>8</v>
      </c>
      <c r="I5" s="21">
        <v>9</v>
      </c>
      <c r="J5" s="21">
        <v>10</v>
      </c>
      <c r="K5" s="20">
        <v>10</v>
      </c>
      <c r="L5" s="31">
        <v>10</v>
      </c>
      <c r="M5" s="31">
        <v>13</v>
      </c>
      <c r="N5" s="31">
        <v>19</v>
      </c>
      <c r="O5" s="15"/>
      <c r="P5" s="9">
        <v>8</v>
      </c>
      <c r="Q5" s="9">
        <v>7</v>
      </c>
      <c r="R5" s="35">
        <v>6</v>
      </c>
      <c r="S5" s="35">
        <v>7</v>
      </c>
      <c r="T5" s="35">
        <v>6</v>
      </c>
      <c r="U5" s="35">
        <v>10</v>
      </c>
      <c r="V5" s="35">
        <v>13</v>
      </c>
      <c r="W5" s="35">
        <v>9</v>
      </c>
      <c r="X5" s="35">
        <v>9</v>
      </c>
      <c r="Y5" s="35">
        <v>6</v>
      </c>
      <c r="Z5" s="35">
        <v>8</v>
      </c>
      <c r="AA5" s="35">
        <v>11</v>
      </c>
      <c r="AB5" s="35">
        <v>10</v>
      </c>
      <c r="AC5" s="35">
        <v>7</v>
      </c>
      <c r="AD5" s="35">
        <v>3</v>
      </c>
      <c r="AE5" s="35">
        <v>17</v>
      </c>
      <c r="AF5" s="35">
        <v>13</v>
      </c>
      <c r="AG5" s="35">
        <v>7</v>
      </c>
      <c r="AH5" s="35">
        <v>9</v>
      </c>
      <c r="AI5" s="35">
        <v>9</v>
      </c>
      <c r="AJ5" s="31">
        <v>9</v>
      </c>
      <c r="AK5" s="35">
        <v>11</v>
      </c>
      <c r="AL5" s="9">
        <v>8</v>
      </c>
      <c r="AM5" s="9">
        <v>10</v>
      </c>
      <c r="AN5" s="31">
        <v>9</v>
      </c>
      <c r="AO5" s="35">
        <v>6</v>
      </c>
      <c r="AP5" s="31">
        <v>5</v>
      </c>
      <c r="AQ5" s="31">
        <v>9</v>
      </c>
      <c r="AS5" s="35">
        <v>8</v>
      </c>
      <c r="AT5" s="35">
        <v>8</v>
      </c>
      <c r="AU5" s="35">
        <v>11</v>
      </c>
      <c r="AV5" s="35">
        <v>3</v>
      </c>
      <c r="AW5" s="35">
        <v>6</v>
      </c>
      <c r="AX5" s="35">
        <v>9</v>
      </c>
      <c r="AY5" s="35">
        <v>8</v>
      </c>
      <c r="AZ5" s="31">
        <v>11</v>
      </c>
      <c r="BA5" s="9">
        <v>12</v>
      </c>
      <c r="BB5" s="9">
        <v>10</v>
      </c>
      <c r="BC5" s="35">
        <v>7</v>
      </c>
      <c r="BD5" s="35">
        <v>0</v>
      </c>
      <c r="BE5" s="35">
        <v>10</v>
      </c>
      <c r="BF5" s="35">
        <v>8</v>
      </c>
      <c r="BG5" s="35">
        <v>6</v>
      </c>
      <c r="BH5" s="35">
        <v>4</v>
      </c>
      <c r="BI5" s="35">
        <v>12</v>
      </c>
      <c r="BJ5" s="35">
        <v>11</v>
      </c>
      <c r="BK5" s="35">
        <v>10</v>
      </c>
      <c r="BL5" s="35">
        <v>9</v>
      </c>
      <c r="BM5" s="35">
        <v>8</v>
      </c>
      <c r="BN5" s="35">
        <v>9</v>
      </c>
      <c r="BO5" s="35">
        <v>7</v>
      </c>
      <c r="BP5" s="35">
        <v>8</v>
      </c>
      <c r="BQ5" s="35">
        <v>10</v>
      </c>
      <c r="BR5" s="35">
        <v>10</v>
      </c>
      <c r="BS5" s="35">
        <v>13</v>
      </c>
      <c r="BT5" s="35">
        <v>10</v>
      </c>
      <c r="BU5" s="31">
        <v>7</v>
      </c>
      <c r="BV5" s="31">
        <v>7</v>
      </c>
      <c r="BW5" s="31">
        <v>10</v>
      </c>
      <c r="BX5" s="31">
        <v>12</v>
      </c>
      <c r="BY5" s="31">
        <v>10</v>
      </c>
    </row>
    <row r="6" spans="1:82" s="9" customFormat="1">
      <c r="A6" s="8" t="s">
        <v>6</v>
      </c>
      <c r="B6" s="20">
        <v>85</v>
      </c>
      <c r="C6" s="21">
        <v>10</v>
      </c>
      <c r="D6" s="21">
        <v>15</v>
      </c>
      <c r="E6" s="21">
        <v>27</v>
      </c>
      <c r="F6" s="21">
        <v>4</v>
      </c>
      <c r="G6" s="21">
        <v>9</v>
      </c>
      <c r="H6" s="21">
        <v>8</v>
      </c>
      <c r="I6" s="21">
        <v>19</v>
      </c>
      <c r="J6" s="21">
        <v>14</v>
      </c>
      <c r="K6" s="21">
        <v>12</v>
      </c>
      <c r="L6" s="31">
        <v>3</v>
      </c>
      <c r="M6" s="31">
        <v>11</v>
      </c>
      <c r="N6" s="31">
        <v>30</v>
      </c>
      <c r="O6" s="15"/>
      <c r="P6" s="9">
        <v>19</v>
      </c>
      <c r="Q6" s="9">
        <v>16</v>
      </c>
      <c r="R6" s="9">
        <v>41</v>
      </c>
      <c r="S6" s="35">
        <v>7</v>
      </c>
      <c r="T6" s="35">
        <v>14</v>
      </c>
      <c r="U6" s="35">
        <v>32</v>
      </c>
      <c r="V6" s="35">
        <v>8</v>
      </c>
      <c r="W6" s="35">
        <v>7</v>
      </c>
      <c r="X6" s="35">
        <v>7</v>
      </c>
      <c r="Y6" s="35">
        <v>6</v>
      </c>
      <c r="Z6" s="35">
        <v>7</v>
      </c>
      <c r="AA6" s="35">
        <v>5</v>
      </c>
      <c r="AB6" s="35">
        <v>12</v>
      </c>
      <c r="AC6" s="35">
        <v>7</v>
      </c>
      <c r="AD6" s="35">
        <v>5</v>
      </c>
      <c r="AE6" s="35">
        <v>6</v>
      </c>
      <c r="AF6" s="35">
        <v>14</v>
      </c>
      <c r="AG6" s="9">
        <v>2</v>
      </c>
      <c r="AH6" s="9">
        <v>10</v>
      </c>
      <c r="AI6" s="9">
        <v>5</v>
      </c>
      <c r="AJ6" s="35">
        <v>6</v>
      </c>
      <c r="AK6" s="35">
        <v>11</v>
      </c>
      <c r="AL6" s="9">
        <v>7</v>
      </c>
      <c r="AM6" s="9">
        <v>12</v>
      </c>
      <c r="AN6" s="9">
        <v>6</v>
      </c>
      <c r="AO6" s="9">
        <v>6</v>
      </c>
      <c r="AP6" s="9">
        <v>1</v>
      </c>
      <c r="AQ6" s="9">
        <v>34</v>
      </c>
      <c r="AR6" s="9">
        <v>23</v>
      </c>
      <c r="AS6" s="35">
        <v>8</v>
      </c>
      <c r="AT6" s="35">
        <v>5</v>
      </c>
      <c r="AU6" s="35">
        <v>2</v>
      </c>
      <c r="AV6" s="35">
        <v>5</v>
      </c>
      <c r="AW6" s="35">
        <v>6</v>
      </c>
      <c r="AX6" s="35">
        <v>2</v>
      </c>
      <c r="AY6" s="35">
        <v>8</v>
      </c>
      <c r="AZ6" s="9">
        <v>4</v>
      </c>
      <c r="BA6" s="9">
        <v>4</v>
      </c>
      <c r="BB6" s="9">
        <v>18</v>
      </c>
      <c r="BC6" s="9">
        <v>9</v>
      </c>
      <c r="BD6" s="9">
        <v>4</v>
      </c>
      <c r="BF6" s="9">
        <v>13</v>
      </c>
      <c r="BG6" s="9">
        <v>23</v>
      </c>
      <c r="BH6" s="35">
        <v>11</v>
      </c>
      <c r="BI6" s="35">
        <v>18</v>
      </c>
      <c r="BJ6" s="35">
        <v>1</v>
      </c>
      <c r="BK6" s="35">
        <v>2</v>
      </c>
      <c r="BL6" s="35">
        <v>3</v>
      </c>
      <c r="BM6" s="35">
        <v>9</v>
      </c>
      <c r="BN6" s="35">
        <v>2</v>
      </c>
      <c r="BO6" s="35">
        <v>11</v>
      </c>
      <c r="BP6" s="35">
        <v>13</v>
      </c>
      <c r="BQ6" s="35">
        <v>17</v>
      </c>
      <c r="BR6" s="35">
        <v>16</v>
      </c>
      <c r="BS6" s="35">
        <v>20</v>
      </c>
      <c r="BT6" s="9">
        <v>12</v>
      </c>
      <c r="BU6" s="9">
        <v>8</v>
      </c>
      <c r="BV6" s="9">
        <v>14</v>
      </c>
      <c r="BW6" s="9">
        <v>20</v>
      </c>
      <c r="BX6" s="9">
        <v>8</v>
      </c>
    </row>
    <row r="7" spans="1:82" s="7" customFormat="1">
      <c r="A7" s="8" t="s">
        <v>7</v>
      </c>
      <c r="B7" s="20"/>
      <c r="C7" s="20"/>
      <c r="D7" s="21"/>
      <c r="E7" s="21"/>
      <c r="F7" s="21"/>
      <c r="G7" s="21"/>
      <c r="H7" s="21"/>
      <c r="I7" s="21"/>
      <c r="J7" s="21"/>
      <c r="K7" s="20"/>
      <c r="L7" s="31"/>
      <c r="M7" s="31"/>
      <c r="N7" s="31"/>
      <c r="O7" s="15"/>
      <c r="P7" s="9"/>
      <c r="Q7" s="9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S7" s="35"/>
      <c r="AT7" s="35"/>
      <c r="AU7" s="35"/>
      <c r="AV7" s="35"/>
      <c r="AW7" s="35"/>
      <c r="AX7" s="35"/>
      <c r="AY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</row>
    <row r="8" spans="1:82" s="7" customFormat="1">
      <c r="A8" s="6" t="s">
        <v>8</v>
      </c>
      <c r="B8" s="20"/>
      <c r="C8" s="21"/>
      <c r="D8" s="21"/>
      <c r="E8" s="21">
        <v>5</v>
      </c>
      <c r="F8" s="21"/>
      <c r="G8" s="21"/>
      <c r="H8" s="21"/>
      <c r="I8" s="21"/>
      <c r="J8" s="21"/>
      <c r="K8" s="20"/>
      <c r="L8" s="31"/>
      <c r="M8" s="31"/>
      <c r="N8" s="31"/>
      <c r="O8" s="15"/>
      <c r="P8" s="9"/>
      <c r="Q8" s="9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J8" s="35"/>
      <c r="AK8" s="35">
        <v>1</v>
      </c>
      <c r="AL8" s="35">
        <v>1</v>
      </c>
      <c r="AM8" s="35">
        <v>2</v>
      </c>
      <c r="AN8" s="35">
        <v>1</v>
      </c>
      <c r="AO8" s="35">
        <v>0</v>
      </c>
      <c r="AP8" s="35">
        <v>1</v>
      </c>
      <c r="AR8" s="35">
        <v>4</v>
      </c>
      <c r="AS8" s="35">
        <v>0</v>
      </c>
      <c r="AT8" s="35">
        <v>0</v>
      </c>
      <c r="AU8" s="35">
        <v>0</v>
      </c>
      <c r="AV8" s="35">
        <v>1</v>
      </c>
      <c r="AW8" s="9">
        <v>1</v>
      </c>
      <c r="AX8" s="35">
        <v>0</v>
      </c>
      <c r="AY8" s="35">
        <v>5</v>
      </c>
      <c r="AZ8" s="9">
        <v>1</v>
      </c>
      <c r="BA8" s="35">
        <v>3</v>
      </c>
      <c r="BB8" s="35">
        <v>3</v>
      </c>
      <c r="BC8" s="35">
        <v>2</v>
      </c>
      <c r="BD8" s="35">
        <v>1</v>
      </c>
      <c r="BE8" s="35">
        <v>1</v>
      </c>
      <c r="BF8" s="35">
        <v>5</v>
      </c>
      <c r="BG8" s="35">
        <v>10</v>
      </c>
      <c r="BH8" s="35">
        <v>3</v>
      </c>
      <c r="BI8" s="35">
        <v>1</v>
      </c>
      <c r="BJ8" s="35">
        <v>1</v>
      </c>
      <c r="BK8" s="35">
        <v>1</v>
      </c>
      <c r="BL8" s="35">
        <v>1</v>
      </c>
      <c r="BM8" s="35">
        <v>0</v>
      </c>
      <c r="BN8" s="35">
        <v>0</v>
      </c>
      <c r="BO8" s="35">
        <v>3</v>
      </c>
      <c r="BP8" s="35">
        <v>3</v>
      </c>
      <c r="BQ8" s="35">
        <v>2</v>
      </c>
      <c r="BR8" s="35">
        <v>2</v>
      </c>
      <c r="BS8" s="35">
        <v>1</v>
      </c>
      <c r="BT8" s="35">
        <v>0</v>
      </c>
      <c r="BU8" s="35">
        <v>2</v>
      </c>
      <c r="BV8" s="35">
        <v>5</v>
      </c>
      <c r="BW8" s="35">
        <v>0</v>
      </c>
      <c r="BX8" s="35">
        <v>3</v>
      </c>
    </row>
    <row r="9" spans="1:82" s="7" customFormat="1">
      <c r="A9" s="6" t="s">
        <v>9</v>
      </c>
      <c r="B9" s="20">
        <v>8</v>
      </c>
      <c r="C9" s="21">
        <v>0</v>
      </c>
      <c r="D9" s="21">
        <v>0</v>
      </c>
      <c r="E9" s="21">
        <v>0</v>
      </c>
      <c r="F9" s="21"/>
      <c r="G9" s="21"/>
      <c r="H9" s="21"/>
      <c r="I9" s="21"/>
      <c r="J9" s="21"/>
      <c r="K9" s="20"/>
      <c r="L9" s="31"/>
      <c r="M9" s="31"/>
      <c r="N9" s="31"/>
      <c r="O9" s="15"/>
      <c r="P9" s="9"/>
      <c r="Q9" s="9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K9" s="35">
        <v>1</v>
      </c>
      <c r="AL9" s="35">
        <v>1</v>
      </c>
      <c r="AM9" s="35">
        <v>1</v>
      </c>
      <c r="AN9" s="35">
        <v>1</v>
      </c>
      <c r="AO9" s="35">
        <v>0</v>
      </c>
      <c r="AP9" s="35">
        <v>0</v>
      </c>
      <c r="AQ9" s="35">
        <v>3</v>
      </c>
      <c r="AR9" s="35">
        <v>0</v>
      </c>
      <c r="AS9" s="35">
        <v>0</v>
      </c>
      <c r="AT9" s="35">
        <v>0</v>
      </c>
      <c r="AU9" s="35">
        <v>0</v>
      </c>
      <c r="AV9" s="35">
        <v>0</v>
      </c>
      <c r="AW9" s="9">
        <v>0</v>
      </c>
      <c r="AX9" s="35">
        <v>0</v>
      </c>
      <c r="AY9" s="35">
        <v>0</v>
      </c>
      <c r="AZ9" s="35">
        <v>1</v>
      </c>
      <c r="BA9" s="35">
        <v>0</v>
      </c>
      <c r="BB9" s="35">
        <v>0</v>
      </c>
      <c r="BC9" s="35">
        <v>0</v>
      </c>
      <c r="BD9" s="35">
        <v>1</v>
      </c>
      <c r="BE9" s="35">
        <v>0</v>
      </c>
      <c r="BF9" s="35">
        <v>2</v>
      </c>
      <c r="BG9" s="35">
        <v>0</v>
      </c>
      <c r="BH9" s="35">
        <v>1</v>
      </c>
      <c r="BI9" s="35">
        <v>0</v>
      </c>
      <c r="BJ9" s="35">
        <v>1</v>
      </c>
      <c r="BK9" s="35">
        <v>0</v>
      </c>
      <c r="BL9" s="35">
        <v>0</v>
      </c>
      <c r="BM9" s="35">
        <v>0</v>
      </c>
      <c r="BN9" s="35">
        <v>0</v>
      </c>
      <c r="BO9" s="35">
        <v>0</v>
      </c>
      <c r="BP9" s="35">
        <v>0</v>
      </c>
      <c r="BQ9" s="35">
        <v>1</v>
      </c>
      <c r="BR9" s="35">
        <v>0</v>
      </c>
      <c r="BS9" s="35">
        <v>0</v>
      </c>
      <c r="BT9" s="35">
        <v>0</v>
      </c>
      <c r="BU9" s="35">
        <v>0</v>
      </c>
      <c r="BV9" s="35">
        <v>0</v>
      </c>
      <c r="BW9" s="35">
        <v>0</v>
      </c>
      <c r="BX9" s="35">
        <v>0</v>
      </c>
    </row>
    <row r="10" spans="1:82" s="5" customFormat="1">
      <c r="A10" s="4" t="s">
        <v>10</v>
      </c>
      <c r="B10" s="22">
        <v>4</v>
      </c>
      <c r="C10" s="23">
        <v>0</v>
      </c>
      <c r="D10" s="23">
        <v>4</v>
      </c>
      <c r="E10" s="21">
        <v>8</v>
      </c>
      <c r="F10" s="21">
        <v>3</v>
      </c>
      <c r="G10" s="21"/>
      <c r="H10" s="21">
        <v>0</v>
      </c>
      <c r="I10" s="21">
        <v>1</v>
      </c>
      <c r="J10" s="21">
        <v>1</v>
      </c>
      <c r="K10" s="22">
        <v>0</v>
      </c>
      <c r="L10" s="32">
        <v>0</v>
      </c>
      <c r="M10" s="32">
        <v>2</v>
      </c>
      <c r="N10" s="32">
        <v>6</v>
      </c>
      <c r="O10" s="15"/>
      <c r="P10" s="5">
        <v>4</v>
      </c>
      <c r="Q10" s="9">
        <v>3</v>
      </c>
      <c r="R10" s="5">
        <v>3</v>
      </c>
      <c r="S10" s="34">
        <v>3</v>
      </c>
      <c r="T10" s="34">
        <v>3</v>
      </c>
      <c r="U10" s="34">
        <v>12</v>
      </c>
      <c r="V10" s="34">
        <v>7</v>
      </c>
      <c r="W10" s="34">
        <v>8</v>
      </c>
      <c r="X10" s="34">
        <v>5</v>
      </c>
      <c r="Y10" s="34">
        <v>4</v>
      </c>
      <c r="Z10" s="34">
        <v>2</v>
      </c>
      <c r="AA10" s="34">
        <v>5</v>
      </c>
      <c r="AB10" s="34">
        <v>16</v>
      </c>
      <c r="AC10" s="34">
        <v>5</v>
      </c>
      <c r="AD10" s="34">
        <v>3</v>
      </c>
      <c r="AE10" s="34">
        <v>0</v>
      </c>
      <c r="AF10" s="34">
        <v>2</v>
      </c>
      <c r="AG10" s="5">
        <v>1</v>
      </c>
      <c r="AH10" s="5">
        <v>5</v>
      </c>
      <c r="AI10" s="5">
        <v>0</v>
      </c>
      <c r="AJ10" s="34">
        <v>1</v>
      </c>
      <c r="AK10" s="5">
        <v>3</v>
      </c>
      <c r="AL10" s="5">
        <v>4</v>
      </c>
      <c r="AM10" s="5">
        <v>1</v>
      </c>
      <c r="AN10" s="5">
        <v>3</v>
      </c>
      <c r="AO10" s="5">
        <v>1</v>
      </c>
      <c r="AP10" s="34">
        <v>0</v>
      </c>
      <c r="AQ10" s="5">
        <v>0</v>
      </c>
      <c r="AR10" s="5">
        <v>1</v>
      </c>
      <c r="AS10" s="5">
        <v>1</v>
      </c>
      <c r="AT10" s="5">
        <v>2</v>
      </c>
      <c r="AU10" s="34">
        <v>2</v>
      </c>
      <c r="AV10" s="34">
        <v>2</v>
      </c>
      <c r="AW10" s="5">
        <v>1</v>
      </c>
      <c r="AX10" s="34">
        <v>0</v>
      </c>
      <c r="AY10" s="34">
        <v>0</v>
      </c>
      <c r="AZ10" s="5">
        <v>2</v>
      </c>
      <c r="BA10" s="5">
        <v>1</v>
      </c>
      <c r="BB10" s="5">
        <v>2</v>
      </c>
      <c r="BC10" s="5">
        <v>1</v>
      </c>
      <c r="BD10" s="5">
        <v>0</v>
      </c>
      <c r="BE10" s="5">
        <v>1</v>
      </c>
      <c r="BF10" s="5">
        <v>0</v>
      </c>
      <c r="BG10" s="5">
        <v>3</v>
      </c>
      <c r="BH10" s="5">
        <v>0</v>
      </c>
      <c r="BI10" s="5">
        <v>2</v>
      </c>
      <c r="BJ10" s="34">
        <v>0</v>
      </c>
      <c r="BK10" s="5">
        <v>2</v>
      </c>
      <c r="BL10" s="34">
        <v>0</v>
      </c>
      <c r="BM10" s="34">
        <v>1</v>
      </c>
      <c r="BN10" s="34">
        <v>0</v>
      </c>
      <c r="BO10" s="34">
        <v>0</v>
      </c>
      <c r="BP10" s="34">
        <v>1</v>
      </c>
      <c r="BQ10" s="34">
        <v>1</v>
      </c>
      <c r="BR10" s="34">
        <v>2</v>
      </c>
      <c r="BS10" s="34">
        <v>7</v>
      </c>
      <c r="BT10" s="5">
        <v>0</v>
      </c>
      <c r="BU10" s="5">
        <v>3</v>
      </c>
      <c r="BV10" s="5">
        <v>1</v>
      </c>
      <c r="BW10" s="5">
        <v>0</v>
      </c>
      <c r="BX10" s="5">
        <v>1</v>
      </c>
    </row>
    <row r="11" spans="1:82" s="7" customFormat="1">
      <c r="A11" s="6" t="s">
        <v>11</v>
      </c>
      <c r="B11" s="20"/>
      <c r="C11" s="21"/>
      <c r="D11" s="21"/>
      <c r="E11" s="21"/>
      <c r="F11" s="21"/>
      <c r="G11" s="21"/>
      <c r="H11" s="21"/>
      <c r="I11" s="21"/>
      <c r="J11" s="21"/>
      <c r="K11" s="20"/>
      <c r="L11" s="31"/>
      <c r="M11" s="31"/>
      <c r="N11" s="31"/>
      <c r="O11" s="15"/>
      <c r="P11" s="9"/>
      <c r="Q11" s="9"/>
      <c r="S11" s="35"/>
      <c r="T11" s="35"/>
      <c r="U11" s="35"/>
      <c r="V11" s="35"/>
      <c r="W11" s="35"/>
      <c r="X11" s="35"/>
      <c r="Y11" s="35">
        <v>1</v>
      </c>
      <c r="Z11" s="35">
        <v>2</v>
      </c>
      <c r="AA11" s="35">
        <v>3</v>
      </c>
      <c r="AB11" s="35">
        <v>2</v>
      </c>
      <c r="AC11" s="35">
        <v>2</v>
      </c>
      <c r="AD11" s="35">
        <v>2</v>
      </c>
      <c r="AE11" s="35">
        <v>0</v>
      </c>
      <c r="AF11" s="35">
        <v>1</v>
      </c>
      <c r="AG11" s="35">
        <v>1</v>
      </c>
      <c r="AH11" s="35">
        <v>2</v>
      </c>
      <c r="AI11" s="35">
        <v>0</v>
      </c>
      <c r="AJ11" s="35">
        <v>1</v>
      </c>
      <c r="AK11" s="35">
        <v>1</v>
      </c>
      <c r="AL11" s="35">
        <v>2</v>
      </c>
      <c r="AM11" s="35">
        <v>1</v>
      </c>
      <c r="AN11" s="35">
        <v>3</v>
      </c>
      <c r="AO11" s="35">
        <v>0</v>
      </c>
      <c r="AP11" s="35">
        <v>0</v>
      </c>
      <c r="AQ11" s="35">
        <v>0</v>
      </c>
      <c r="AR11" s="35">
        <v>1</v>
      </c>
      <c r="AS11" s="35">
        <v>0</v>
      </c>
      <c r="AT11" s="35">
        <v>2</v>
      </c>
      <c r="AU11" s="35">
        <v>2</v>
      </c>
      <c r="AV11" s="35">
        <v>2</v>
      </c>
      <c r="AW11" s="9">
        <v>1</v>
      </c>
      <c r="AX11" s="35">
        <v>0</v>
      </c>
      <c r="AY11" s="35">
        <v>0</v>
      </c>
      <c r="AZ11" s="35">
        <v>1</v>
      </c>
      <c r="BA11" s="35">
        <v>0</v>
      </c>
      <c r="BB11" s="35">
        <v>1</v>
      </c>
      <c r="BC11" s="35">
        <v>1</v>
      </c>
      <c r="BD11" s="35">
        <v>0</v>
      </c>
      <c r="BE11" s="35">
        <v>1</v>
      </c>
      <c r="BF11" s="35">
        <v>0</v>
      </c>
      <c r="BG11" s="34">
        <v>2</v>
      </c>
      <c r="BH11" s="35">
        <v>0</v>
      </c>
      <c r="BI11" s="35">
        <v>1</v>
      </c>
      <c r="BJ11" s="35">
        <v>0</v>
      </c>
      <c r="BK11" s="35">
        <v>1</v>
      </c>
      <c r="BL11" s="35">
        <v>0</v>
      </c>
      <c r="BM11" s="35">
        <v>1</v>
      </c>
      <c r="BN11" s="35">
        <v>0</v>
      </c>
      <c r="BO11" s="35">
        <v>0</v>
      </c>
      <c r="BP11" s="35">
        <v>0</v>
      </c>
      <c r="BQ11" s="35">
        <v>1</v>
      </c>
      <c r="BR11" s="35">
        <v>0</v>
      </c>
      <c r="BS11" s="35">
        <v>7</v>
      </c>
      <c r="BT11" s="35">
        <v>0</v>
      </c>
      <c r="BU11" s="35">
        <v>3</v>
      </c>
      <c r="BV11" s="35">
        <v>1</v>
      </c>
      <c r="BW11" s="35">
        <v>0</v>
      </c>
      <c r="BX11" s="35">
        <v>1</v>
      </c>
    </row>
    <row r="12" spans="1:82" s="3" customFormat="1">
      <c r="A12" s="2" t="s">
        <v>12</v>
      </c>
      <c r="B12" s="22"/>
      <c r="C12" s="23"/>
      <c r="D12" s="23"/>
      <c r="E12" s="23"/>
      <c r="F12" s="23">
        <v>2</v>
      </c>
      <c r="G12" s="23"/>
      <c r="H12" s="23"/>
      <c r="I12" s="23">
        <v>1</v>
      </c>
      <c r="J12" s="23"/>
      <c r="K12" s="22"/>
      <c r="L12" s="32"/>
      <c r="M12" s="32"/>
      <c r="N12" s="32"/>
      <c r="O12" s="14"/>
      <c r="P12" s="5"/>
      <c r="Q12" s="9">
        <v>2</v>
      </c>
      <c r="R12" s="34">
        <v>2</v>
      </c>
      <c r="S12" s="38">
        <v>3</v>
      </c>
      <c r="T12" s="34">
        <v>1</v>
      </c>
      <c r="U12" s="34">
        <v>7</v>
      </c>
      <c r="V12" s="34">
        <v>3</v>
      </c>
      <c r="W12" s="34">
        <v>1</v>
      </c>
      <c r="X12" s="34">
        <v>1</v>
      </c>
      <c r="Y12" s="34">
        <v>1</v>
      </c>
      <c r="Z12" s="34">
        <v>1</v>
      </c>
      <c r="AA12" s="34">
        <v>2</v>
      </c>
      <c r="AB12" s="34">
        <v>2</v>
      </c>
      <c r="AC12" s="34">
        <v>1</v>
      </c>
      <c r="AD12" s="34">
        <v>1</v>
      </c>
      <c r="AE12" s="34">
        <v>0</v>
      </c>
      <c r="AF12" s="34">
        <v>1</v>
      </c>
      <c r="AG12" s="34">
        <v>1</v>
      </c>
      <c r="AH12" s="34">
        <v>2</v>
      </c>
      <c r="AI12" s="34">
        <v>0</v>
      </c>
      <c r="AJ12" s="34">
        <v>1</v>
      </c>
      <c r="AK12" s="34">
        <v>1</v>
      </c>
      <c r="AL12" s="34">
        <v>1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  <c r="AR12" s="34">
        <v>1</v>
      </c>
      <c r="AS12" s="34">
        <v>0</v>
      </c>
      <c r="AT12" s="34">
        <v>1</v>
      </c>
      <c r="AU12" s="34">
        <v>0</v>
      </c>
      <c r="AV12" s="34">
        <v>0</v>
      </c>
      <c r="AW12" s="5">
        <v>1</v>
      </c>
      <c r="AX12" s="34">
        <v>0</v>
      </c>
      <c r="AY12" s="34">
        <v>0</v>
      </c>
      <c r="AZ12" s="34">
        <v>1</v>
      </c>
      <c r="BA12" s="34">
        <v>0</v>
      </c>
      <c r="BB12" s="34">
        <v>0</v>
      </c>
      <c r="BC12" s="34">
        <v>1</v>
      </c>
      <c r="BD12" s="34">
        <v>0</v>
      </c>
      <c r="BE12" s="34">
        <v>1</v>
      </c>
      <c r="BF12" s="34">
        <v>0</v>
      </c>
      <c r="BG12" s="34">
        <v>2</v>
      </c>
      <c r="BH12" s="34">
        <v>0</v>
      </c>
      <c r="BI12" s="34">
        <v>1</v>
      </c>
      <c r="BJ12" s="34">
        <v>0</v>
      </c>
      <c r="BK12" s="34">
        <v>0</v>
      </c>
      <c r="BL12" s="34">
        <v>0</v>
      </c>
      <c r="BM12" s="34">
        <v>0</v>
      </c>
      <c r="BN12" s="34">
        <v>0</v>
      </c>
      <c r="BO12" s="34">
        <v>0</v>
      </c>
      <c r="BP12" s="34">
        <v>0</v>
      </c>
      <c r="BQ12" s="34">
        <v>1</v>
      </c>
      <c r="BR12" s="34">
        <v>0</v>
      </c>
      <c r="BS12" s="35">
        <v>7</v>
      </c>
      <c r="BT12" s="34">
        <v>0</v>
      </c>
      <c r="BU12" s="34">
        <v>0</v>
      </c>
      <c r="BV12" s="34">
        <v>1</v>
      </c>
      <c r="BW12" s="34">
        <v>0</v>
      </c>
      <c r="BX12" s="34">
        <v>0</v>
      </c>
    </row>
    <row r="13" spans="1:82" s="16" customFormat="1">
      <c r="A13" s="17" t="s">
        <v>13</v>
      </c>
      <c r="B13" s="24"/>
      <c r="C13" s="22"/>
      <c r="D13" s="23"/>
      <c r="E13" s="23"/>
      <c r="F13" s="23"/>
      <c r="G13" s="23"/>
      <c r="H13" s="23"/>
      <c r="I13" s="23"/>
      <c r="J13" s="23"/>
      <c r="K13" s="22"/>
      <c r="L13" s="32"/>
      <c r="M13" s="32"/>
      <c r="N13" s="32"/>
      <c r="O13" s="14"/>
      <c r="Q13" s="9"/>
      <c r="S13" s="37"/>
      <c r="T13" s="37"/>
      <c r="U13" s="37"/>
      <c r="V13" s="37"/>
      <c r="W13" s="37"/>
      <c r="X13" s="37"/>
      <c r="Y13" s="37">
        <v>1</v>
      </c>
      <c r="Z13" s="37">
        <v>1</v>
      </c>
      <c r="AA13" s="37">
        <v>2</v>
      </c>
      <c r="AB13" s="37">
        <v>0</v>
      </c>
      <c r="AC13" s="37">
        <v>1</v>
      </c>
      <c r="AD13" s="37">
        <v>1</v>
      </c>
      <c r="AE13" s="37">
        <v>0</v>
      </c>
      <c r="AF13" s="37">
        <v>1</v>
      </c>
      <c r="AG13" s="16">
        <v>0</v>
      </c>
      <c r="AH13" s="16">
        <v>0</v>
      </c>
      <c r="AI13" s="16">
        <v>0</v>
      </c>
      <c r="AJ13" s="16">
        <v>0</v>
      </c>
      <c r="AK13" s="16">
        <v>1</v>
      </c>
      <c r="AL13" s="16">
        <v>3</v>
      </c>
      <c r="AM13" s="16">
        <v>0</v>
      </c>
      <c r="AN13" s="16">
        <v>0</v>
      </c>
      <c r="AO13" s="16">
        <v>0</v>
      </c>
      <c r="AP13" s="37">
        <v>0</v>
      </c>
      <c r="AQ13" s="16">
        <v>0</v>
      </c>
      <c r="AR13" s="16">
        <v>1</v>
      </c>
      <c r="AS13" s="37">
        <v>0</v>
      </c>
      <c r="AT13" s="16">
        <v>0</v>
      </c>
      <c r="AU13" s="37">
        <v>0</v>
      </c>
      <c r="AV13" s="37">
        <v>0</v>
      </c>
      <c r="AW13" s="16">
        <v>1</v>
      </c>
      <c r="AX13" s="37">
        <v>0</v>
      </c>
      <c r="AY13" s="37">
        <v>0</v>
      </c>
      <c r="AZ13" s="16">
        <v>1</v>
      </c>
      <c r="BA13" s="16">
        <v>0</v>
      </c>
      <c r="BB13" s="16">
        <v>1</v>
      </c>
      <c r="BC13" s="16">
        <v>1</v>
      </c>
      <c r="BD13" s="16">
        <v>0</v>
      </c>
      <c r="BE13" s="16">
        <v>1</v>
      </c>
      <c r="BF13" s="16">
        <v>0</v>
      </c>
      <c r="BG13" s="16">
        <v>1</v>
      </c>
      <c r="BH13" s="16">
        <v>0</v>
      </c>
      <c r="BI13" s="16">
        <v>0</v>
      </c>
      <c r="BJ13" s="37">
        <v>0</v>
      </c>
      <c r="BK13" s="16">
        <v>1</v>
      </c>
      <c r="BL13" s="37">
        <v>0</v>
      </c>
      <c r="BM13" s="37">
        <v>0</v>
      </c>
      <c r="BN13" s="37">
        <v>0</v>
      </c>
      <c r="BO13" s="37">
        <v>0</v>
      </c>
      <c r="BP13" s="37">
        <v>0</v>
      </c>
      <c r="BQ13" s="37">
        <v>1</v>
      </c>
      <c r="BR13" s="37">
        <v>1</v>
      </c>
      <c r="BS13" s="37">
        <v>7</v>
      </c>
      <c r="BT13" s="16">
        <v>1</v>
      </c>
      <c r="BU13" s="16">
        <v>0</v>
      </c>
      <c r="BV13" s="16">
        <v>1</v>
      </c>
      <c r="BW13" s="16">
        <v>1</v>
      </c>
      <c r="BX13" s="16">
        <v>1</v>
      </c>
    </row>
    <row r="14" spans="1:82">
      <c r="J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 t="s">
        <v>14</v>
      </c>
      <c r="AD14" s="18"/>
      <c r="AE14" s="18"/>
      <c r="AF14" s="18"/>
      <c r="BL14" s="18"/>
      <c r="BM14" s="18"/>
      <c r="BN14" s="18"/>
      <c r="BO14" s="18"/>
      <c r="BP14" s="18"/>
      <c r="BQ14" s="18"/>
      <c r="BR14" s="18"/>
      <c r="BT14" t="s">
        <v>15</v>
      </c>
    </row>
    <row r="15" spans="1:82"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BL15" s="18"/>
      <c r="BM15" s="18"/>
      <c r="BN15" s="18"/>
      <c r="BO15" s="18"/>
      <c r="BP15" s="18"/>
      <c r="BQ15" s="18"/>
      <c r="BR15" s="18"/>
    </row>
    <row r="16" spans="1:82"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BL16" s="18"/>
      <c r="BM16" s="18"/>
      <c r="BN16" s="18"/>
      <c r="BO16" s="18"/>
      <c r="BP16" s="18"/>
      <c r="BQ16" s="18"/>
      <c r="BR16" s="18"/>
    </row>
    <row r="17" spans="64:70">
      <c r="BL17" s="18"/>
      <c r="BM17" s="18"/>
      <c r="BN17" s="18"/>
      <c r="BO17" s="18"/>
      <c r="BP17" s="18"/>
      <c r="BQ17" s="18"/>
      <c r="BR17" s="18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359C-04C9-487A-A620-0FFBB3459257}">
  <dimension ref="A1:E5"/>
  <sheetViews>
    <sheetView workbookViewId="0">
      <pane xSplit="1" topLeftCell="B1" activePane="topRight" state="frozen"/>
      <selection pane="topRight" activeCell="C15" sqref="C15"/>
      <selection activeCell="A2" sqref="A2"/>
    </sheetView>
  </sheetViews>
  <sheetFormatPr defaultColWidth="11.42578125" defaultRowHeight="14.45"/>
  <cols>
    <col min="1" max="1" width="37.5703125" style="1" customWidth="1"/>
    <col min="2" max="2" width="27" customWidth="1"/>
  </cols>
  <sheetData>
    <row r="1" spans="1:5" s="1" customFormat="1">
      <c r="A1" s="25" t="s">
        <v>0</v>
      </c>
      <c r="B1" s="10" t="s">
        <v>16</v>
      </c>
      <c r="C1" s="10"/>
      <c r="D1" s="13"/>
      <c r="E1" s="59" t="s">
        <v>17</v>
      </c>
    </row>
    <row r="2" spans="1:5" s="5" customFormat="1">
      <c r="A2" s="4" t="s">
        <v>2</v>
      </c>
      <c r="B2" s="12">
        <f>44+23</f>
        <v>67</v>
      </c>
      <c r="C2" s="12"/>
      <c r="D2" s="14"/>
    </row>
    <row r="3" spans="1:5" s="7" customFormat="1">
      <c r="A3" s="6" t="s">
        <v>6</v>
      </c>
      <c r="B3" s="20">
        <v>21</v>
      </c>
      <c r="C3" s="20"/>
      <c r="D3" s="15"/>
    </row>
    <row r="4" spans="1:5" s="7" customFormat="1">
      <c r="A4" s="6" t="s">
        <v>18</v>
      </c>
      <c r="B4" s="20">
        <v>23</v>
      </c>
      <c r="C4" s="20"/>
      <c r="D4" s="15"/>
    </row>
    <row r="5" spans="1:5" s="7" customFormat="1">
      <c r="A5" s="6"/>
      <c r="B5" s="20"/>
      <c r="C5" s="20"/>
      <c r="D5" s="1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FE4E-E9C5-49DA-BF09-B965640E5ABF}">
  <dimension ref="A1:O15"/>
  <sheetViews>
    <sheetView zoomScale="95" workbookViewId="0">
      <pane xSplit="1" topLeftCell="B1" activePane="topRight" state="frozen"/>
      <selection pane="topRight" activeCell="H13" sqref="H13"/>
      <selection activeCell="A2" sqref="A2"/>
    </sheetView>
  </sheetViews>
  <sheetFormatPr defaultColWidth="11.42578125" defaultRowHeight="14.45"/>
  <cols>
    <col min="1" max="1" width="37.5703125" style="1" customWidth="1"/>
    <col min="2" max="2" width="10.5703125" bestFit="1" customWidth="1"/>
  </cols>
  <sheetData>
    <row r="1" spans="1:15" s="1" customFormat="1">
      <c r="A1" s="25" t="s">
        <v>0</v>
      </c>
      <c r="B1" s="10">
        <v>45409</v>
      </c>
      <c r="C1" s="11">
        <v>45415</v>
      </c>
      <c r="D1" s="11">
        <v>45422</v>
      </c>
      <c r="E1" s="11">
        <v>45429</v>
      </c>
      <c r="F1" s="11">
        <v>45436</v>
      </c>
      <c r="G1" s="11">
        <v>45443</v>
      </c>
      <c r="H1" s="11">
        <v>45450</v>
      </c>
      <c r="I1" s="11">
        <v>45457</v>
      </c>
      <c r="J1" s="11">
        <v>45464</v>
      </c>
    </row>
    <row r="2" spans="1:15" s="29" customFormat="1">
      <c r="A2" s="4" t="s">
        <v>19</v>
      </c>
      <c r="B2" s="26">
        <f t="shared" ref="B2:G2" si="0">SUM(B3:B4)</f>
        <v>4</v>
      </c>
      <c r="C2" s="26">
        <f t="shared" si="0"/>
        <v>4</v>
      </c>
      <c r="D2" s="26">
        <f t="shared" si="0"/>
        <v>7</v>
      </c>
      <c r="E2" s="26">
        <f t="shared" si="0"/>
        <v>4</v>
      </c>
      <c r="F2" s="26">
        <f t="shared" si="0"/>
        <v>0</v>
      </c>
      <c r="G2" s="26">
        <f t="shared" si="0"/>
        <v>0</v>
      </c>
    </row>
    <row r="3" spans="1:15" s="7" customFormat="1">
      <c r="A3" s="6" t="s">
        <v>20</v>
      </c>
      <c r="B3" s="20">
        <v>2</v>
      </c>
      <c r="C3" s="21">
        <v>3</v>
      </c>
      <c r="D3" s="21">
        <v>3</v>
      </c>
      <c r="E3" s="21">
        <v>2</v>
      </c>
      <c r="F3" s="21"/>
      <c r="G3" s="21"/>
      <c r="H3" s="35"/>
      <c r="I3" s="35"/>
      <c r="J3" s="35"/>
      <c r="K3" s="35"/>
      <c r="L3" s="35"/>
      <c r="M3" s="35"/>
      <c r="N3" s="35"/>
      <c r="O3" s="35"/>
    </row>
    <row r="4" spans="1:15" s="7" customFormat="1">
      <c r="A4" s="6" t="s">
        <v>21</v>
      </c>
      <c r="B4" s="20">
        <v>2</v>
      </c>
      <c r="C4" s="21">
        <v>1</v>
      </c>
      <c r="D4" s="21">
        <v>4</v>
      </c>
      <c r="E4" s="21">
        <v>2</v>
      </c>
      <c r="F4" s="21"/>
      <c r="G4" s="21"/>
      <c r="H4" s="35"/>
      <c r="I4" s="35"/>
      <c r="J4" s="35"/>
      <c r="K4" s="35"/>
      <c r="L4" s="35"/>
      <c r="M4" s="35"/>
      <c r="N4" s="35"/>
      <c r="O4" s="35"/>
    </row>
    <row r="5" spans="1:15" s="9" customFormat="1">
      <c r="A5" s="8" t="s">
        <v>6</v>
      </c>
      <c r="B5" s="20">
        <v>2</v>
      </c>
      <c r="C5" s="21">
        <v>1</v>
      </c>
      <c r="D5" s="21">
        <v>2</v>
      </c>
      <c r="E5" s="21">
        <v>0</v>
      </c>
      <c r="F5" s="21"/>
      <c r="G5" s="21"/>
      <c r="H5" s="35"/>
      <c r="I5" s="35"/>
      <c r="J5" s="35"/>
      <c r="K5" s="35"/>
      <c r="L5" s="35"/>
      <c r="M5" s="35"/>
      <c r="N5" s="35"/>
      <c r="O5" s="35"/>
    </row>
    <row r="6" spans="1:15" s="7" customFormat="1">
      <c r="A6" s="8" t="s">
        <v>7</v>
      </c>
      <c r="B6" s="20"/>
      <c r="C6" s="20"/>
      <c r="D6" s="21"/>
      <c r="E6" s="21"/>
      <c r="F6" s="21"/>
      <c r="G6" s="21"/>
      <c r="H6" s="35"/>
      <c r="I6" s="35"/>
      <c r="J6" s="35"/>
      <c r="K6" s="35"/>
      <c r="L6" s="35"/>
      <c r="M6" s="35"/>
      <c r="N6" s="35"/>
      <c r="O6" s="35"/>
    </row>
    <row r="7" spans="1:15" s="7" customFormat="1">
      <c r="A7" s="6" t="s">
        <v>8</v>
      </c>
      <c r="B7" s="20"/>
      <c r="C7" s="21"/>
      <c r="D7" s="21"/>
      <c r="E7" s="21"/>
      <c r="F7" s="21"/>
      <c r="G7" s="21"/>
      <c r="H7" s="35"/>
      <c r="I7" s="35"/>
      <c r="J7" s="35"/>
      <c r="K7" s="35"/>
      <c r="L7" s="35"/>
      <c r="M7" s="35"/>
      <c r="N7" s="35"/>
      <c r="O7" s="35"/>
    </row>
    <row r="8" spans="1:15" s="7" customFormat="1">
      <c r="A8" s="6" t="s">
        <v>9</v>
      </c>
      <c r="B8" s="20"/>
      <c r="C8" s="21"/>
      <c r="D8" s="21"/>
      <c r="E8" s="21"/>
      <c r="F8" s="21"/>
      <c r="G8" s="21"/>
      <c r="H8" s="35"/>
      <c r="I8" s="35"/>
      <c r="J8" s="35"/>
      <c r="K8" s="35"/>
      <c r="L8" s="35"/>
      <c r="M8" s="35"/>
      <c r="N8" s="35"/>
      <c r="O8" s="35"/>
    </row>
    <row r="9" spans="1:15" s="5" customFormat="1">
      <c r="A9" s="4" t="s">
        <v>10</v>
      </c>
      <c r="B9" s="22"/>
      <c r="C9" s="23"/>
      <c r="D9" s="23"/>
      <c r="E9" s="21"/>
      <c r="F9" s="21"/>
      <c r="G9" s="21"/>
      <c r="H9" s="34"/>
      <c r="I9" s="34"/>
      <c r="J9" s="34"/>
      <c r="K9" s="34"/>
      <c r="L9" s="34"/>
      <c r="M9" s="34"/>
      <c r="N9" s="34"/>
      <c r="O9" s="34"/>
    </row>
    <row r="10" spans="1:15" s="7" customFormat="1">
      <c r="A10" s="6" t="s">
        <v>11</v>
      </c>
      <c r="B10" s="20"/>
      <c r="C10" s="21"/>
      <c r="D10" s="21"/>
      <c r="E10" s="21"/>
      <c r="F10" s="21"/>
      <c r="G10" s="21"/>
      <c r="H10" s="35"/>
      <c r="I10" s="35"/>
      <c r="J10" s="35"/>
      <c r="K10" s="35"/>
      <c r="L10" s="35"/>
      <c r="M10" s="35"/>
      <c r="N10" s="35"/>
      <c r="O10" s="35"/>
    </row>
    <row r="11" spans="1:15" s="3" customFormat="1">
      <c r="A11" s="2" t="s">
        <v>12</v>
      </c>
      <c r="B11" s="22"/>
      <c r="C11" s="23"/>
      <c r="D11" s="23"/>
      <c r="E11" s="23"/>
      <c r="F11" s="23"/>
      <c r="G11" s="23"/>
      <c r="H11" s="34"/>
      <c r="I11" s="34"/>
      <c r="J11" s="34"/>
      <c r="K11" s="34"/>
      <c r="L11" s="34"/>
      <c r="M11" s="34"/>
      <c r="N11" s="34"/>
      <c r="O11" s="34"/>
    </row>
    <row r="12" spans="1:15" s="16" customFormat="1">
      <c r="A12" s="17" t="s">
        <v>13</v>
      </c>
      <c r="B12" s="24"/>
      <c r="C12" s="22"/>
      <c r="D12" s="23"/>
      <c r="E12" s="23"/>
      <c r="F12" s="23"/>
      <c r="G12" s="23"/>
      <c r="H12" s="37"/>
      <c r="I12" s="37"/>
      <c r="J12" s="37"/>
      <c r="K12" s="37"/>
      <c r="L12" s="37"/>
      <c r="M12" s="37"/>
      <c r="N12" s="37"/>
      <c r="O12" s="37"/>
    </row>
    <row r="13" spans="1:15">
      <c r="H13" s="18"/>
      <c r="I13" s="18"/>
      <c r="J13" s="18"/>
      <c r="K13" s="18"/>
      <c r="L13" s="18"/>
      <c r="M13" s="18"/>
      <c r="N13" s="18"/>
      <c r="O13" s="18"/>
    </row>
    <row r="14" spans="1:15">
      <c r="H14" s="18"/>
      <c r="I14" s="18"/>
      <c r="J14" s="18"/>
      <c r="K14" s="18"/>
      <c r="L14" s="18"/>
      <c r="M14" s="18"/>
      <c r="N14" s="18"/>
      <c r="O14" s="18"/>
    </row>
    <row r="15" spans="1:15">
      <c r="H15" s="18"/>
      <c r="I15" s="18"/>
      <c r="J15" s="18"/>
      <c r="K15" s="18"/>
      <c r="L15" s="18"/>
      <c r="M15" s="18"/>
      <c r="N15" s="18"/>
      <c r="O15" s="18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1AB9-EAFC-49F4-A74A-818CB3B0FE08}">
  <dimension ref="A1:BH11"/>
  <sheetViews>
    <sheetView zoomScaleNormal="100" workbookViewId="0">
      <pane xSplit="1" topLeftCell="Y1" activePane="topRight" state="frozen"/>
      <selection pane="topRight" activeCell="Z8" sqref="Z8"/>
    </sheetView>
  </sheetViews>
  <sheetFormatPr defaultColWidth="9" defaultRowHeight="14.45"/>
  <cols>
    <col min="1" max="1" width="31.42578125" customWidth="1"/>
    <col min="2" max="6" width="10.85546875" bestFit="1" customWidth="1"/>
    <col min="7" max="60" width="10.7109375" bestFit="1" customWidth="1"/>
  </cols>
  <sheetData>
    <row r="1" spans="1:60" s="56" customFormat="1">
      <c r="A1" s="25" t="s">
        <v>0</v>
      </c>
      <c r="B1" s="10">
        <v>45745</v>
      </c>
      <c r="C1" s="11">
        <v>45752</v>
      </c>
      <c r="D1" s="10">
        <v>45759</v>
      </c>
      <c r="E1" s="10">
        <v>45766</v>
      </c>
      <c r="F1" s="10">
        <f>E1+7</f>
        <v>45773</v>
      </c>
      <c r="G1" s="10">
        <f t="shared" ref="G1:BH1" si="0">F1+7</f>
        <v>45780</v>
      </c>
      <c r="H1" s="10">
        <f t="shared" si="0"/>
        <v>45787</v>
      </c>
      <c r="I1" s="10">
        <f t="shared" si="0"/>
        <v>45794</v>
      </c>
      <c r="J1" s="10">
        <f t="shared" si="0"/>
        <v>45801</v>
      </c>
      <c r="K1" s="10">
        <f t="shared" si="0"/>
        <v>45808</v>
      </c>
      <c r="L1" s="10">
        <f t="shared" si="0"/>
        <v>45815</v>
      </c>
      <c r="M1" s="10">
        <f t="shared" si="0"/>
        <v>45822</v>
      </c>
      <c r="N1" s="10">
        <f t="shared" si="0"/>
        <v>45829</v>
      </c>
      <c r="O1" s="10">
        <f t="shared" si="0"/>
        <v>45836</v>
      </c>
      <c r="P1" s="10">
        <f t="shared" si="0"/>
        <v>45843</v>
      </c>
      <c r="Q1" s="10">
        <f t="shared" si="0"/>
        <v>45850</v>
      </c>
      <c r="R1" s="10">
        <f t="shared" si="0"/>
        <v>45857</v>
      </c>
      <c r="S1" s="10">
        <f t="shared" si="0"/>
        <v>45864</v>
      </c>
      <c r="T1" s="10">
        <f t="shared" si="0"/>
        <v>45871</v>
      </c>
      <c r="U1" s="10">
        <f t="shared" si="0"/>
        <v>45878</v>
      </c>
      <c r="V1" s="10">
        <f t="shared" si="0"/>
        <v>45885</v>
      </c>
      <c r="W1" s="10">
        <f t="shared" si="0"/>
        <v>45892</v>
      </c>
      <c r="X1" s="10">
        <f t="shared" si="0"/>
        <v>45899</v>
      </c>
      <c r="Y1" s="10">
        <f>X1+7</f>
        <v>45906</v>
      </c>
      <c r="Z1" s="10">
        <f t="shared" si="0"/>
        <v>45913</v>
      </c>
      <c r="AA1" s="10">
        <f t="shared" si="0"/>
        <v>45920</v>
      </c>
      <c r="AB1" s="10">
        <f t="shared" si="0"/>
        <v>45927</v>
      </c>
      <c r="AC1" s="10">
        <f t="shared" si="0"/>
        <v>45934</v>
      </c>
      <c r="AD1" s="10">
        <f t="shared" si="0"/>
        <v>45941</v>
      </c>
      <c r="AE1" s="10">
        <f t="shared" si="0"/>
        <v>45948</v>
      </c>
      <c r="AF1" s="10">
        <f t="shared" si="0"/>
        <v>45955</v>
      </c>
      <c r="AG1" s="10">
        <f t="shared" si="0"/>
        <v>45962</v>
      </c>
      <c r="AH1" s="10">
        <f t="shared" si="0"/>
        <v>45969</v>
      </c>
      <c r="AI1" s="10">
        <f t="shared" si="0"/>
        <v>45976</v>
      </c>
      <c r="AJ1" s="10">
        <f t="shared" si="0"/>
        <v>45983</v>
      </c>
      <c r="AK1" s="10">
        <f t="shared" si="0"/>
        <v>45990</v>
      </c>
      <c r="AL1" s="10">
        <f t="shared" si="0"/>
        <v>45997</v>
      </c>
      <c r="AM1" s="10">
        <f t="shared" si="0"/>
        <v>46004</v>
      </c>
      <c r="AN1" s="10">
        <f t="shared" si="0"/>
        <v>46011</v>
      </c>
      <c r="AO1" s="10">
        <f t="shared" si="0"/>
        <v>46018</v>
      </c>
      <c r="AP1" s="10">
        <f t="shared" si="0"/>
        <v>46025</v>
      </c>
      <c r="AQ1" s="10">
        <f t="shared" si="0"/>
        <v>46032</v>
      </c>
      <c r="AR1" s="10">
        <f t="shared" si="0"/>
        <v>46039</v>
      </c>
      <c r="AS1" s="10">
        <f t="shared" si="0"/>
        <v>46046</v>
      </c>
      <c r="AT1" s="10">
        <f t="shared" si="0"/>
        <v>46053</v>
      </c>
      <c r="AU1" s="10">
        <f t="shared" si="0"/>
        <v>46060</v>
      </c>
      <c r="AV1" s="10">
        <f t="shared" si="0"/>
        <v>46067</v>
      </c>
      <c r="AW1" s="10">
        <f t="shared" si="0"/>
        <v>46074</v>
      </c>
      <c r="AX1" s="10">
        <f t="shared" si="0"/>
        <v>46081</v>
      </c>
      <c r="AY1" s="10">
        <f t="shared" si="0"/>
        <v>46088</v>
      </c>
      <c r="AZ1" s="10">
        <f t="shared" si="0"/>
        <v>46095</v>
      </c>
      <c r="BA1" s="10">
        <f t="shared" si="0"/>
        <v>46102</v>
      </c>
      <c r="BB1" s="10">
        <f t="shared" si="0"/>
        <v>46109</v>
      </c>
      <c r="BC1" s="10">
        <f t="shared" si="0"/>
        <v>46116</v>
      </c>
      <c r="BD1" s="10">
        <f t="shared" si="0"/>
        <v>46123</v>
      </c>
      <c r="BE1" s="10">
        <f t="shared" si="0"/>
        <v>46130</v>
      </c>
      <c r="BF1" s="10">
        <f t="shared" si="0"/>
        <v>46137</v>
      </c>
      <c r="BG1" s="10">
        <f t="shared" si="0"/>
        <v>46144</v>
      </c>
      <c r="BH1" s="10">
        <f t="shared" si="0"/>
        <v>46151</v>
      </c>
    </row>
    <row r="2" spans="1:60">
      <c r="A2" s="4" t="s">
        <v>19</v>
      </c>
      <c r="B2" s="26">
        <f>SUM(B3:B5)</f>
        <v>34</v>
      </c>
      <c r="C2" s="26">
        <f t="shared" ref="C2:BH2" si="1">SUM(C3:C5)</f>
        <v>8</v>
      </c>
      <c r="D2" s="26">
        <f t="shared" si="1"/>
        <v>8</v>
      </c>
      <c r="E2" s="26">
        <f t="shared" si="1"/>
        <v>33</v>
      </c>
      <c r="F2" s="26">
        <f t="shared" si="1"/>
        <v>4</v>
      </c>
      <c r="G2" s="26">
        <f t="shared" si="1"/>
        <v>6</v>
      </c>
      <c r="H2" s="26">
        <f t="shared" si="1"/>
        <v>6</v>
      </c>
      <c r="I2" s="26">
        <f t="shared" si="1"/>
        <v>9</v>
      </c>
      <c r="J2" s="26">
        <f t="shared" si="1"/>
        <v>25</v>
      </c>
      <c r="K2" s="26">
        <f t="shared" si="1"/>
        <v>5</v>
      </c>
      <c r="L2" s="26">
        <f t="shared" si="1"/>
        <v>6</v>
      </c>
      <c r="M2" s="26">
        <f t="shared" si="1"/>
        <v>6</v>
      </c>
      <c r="N2" s="26">
        <f t="shared" si="1"/>
        <v>6</v>
      </c>
      <c r="O2" s="26">
        <v>29</v>
      </c>
      <c r="P2" s="26">
        <f t="shared" si="1"/>
        <v>7</v>
      </c>
      <c r="Q2" s="26">
        <f>SUM(Q3:Q5)</f>
        <v>4</v>
      </c>
      <c r="R2" s="26">
        <f t="shared" si="1"/>
        <v>12</v>
      </c>
      <c r="S2" s="26">
        <f t="shared" si="1"/>
        <v>9</v>
      </c>
      <c r="T2" s="26">
        <f t="shared" si="1"/>
        <v>0</v>
      </c>
      <c r="U2" s="26">
        <f t="shared" si="1"/>
        <v>0</v>
      </c>
      <c r="V2" s="26">
        <f t="shared" si="1"/>
        <v>0</v>
      </c>
      <c r="W2" s="26">
        <f t="shared" si="1"/>
        <v>0</v>
      </c>
      <c r="X2" s="26">
        <f t="shared" si="1"/>
        <v>0</v>
      </c>
      <c r="Y2" s="26">
        <f t="shared" si="1"/>
        <v>11</v>
      </c>
      <c r="Z2" s="26">
        <f t="shared" si="1"/>
        <v>0</v>
      </c>
      <c r="AA2" s="26">
        <f t="shared" si="1"/>
        <v>0</v>
      </c>
      <c r="AB2" s="26">
        <f t="shared" si="1"/>
        <v>0</v>
      </c>
      <c r="AC2" s="26">
        <f t="shared" si="1"/>
        <v>0</v>
      </c>
      <c r="AD2" s="26">
        <f t="shared" si="1"/>
        <v>0</v>
      </c>
      <c r="AE2" s="26">
        <f t="shared" si="1"/>
        <v>0</v>
      </c>
      <c r="AF2" s="26">
        <f t="shared" si="1"/>
        <v>0</v>
      </c>
      <c r="AG2" s="26">
        <f t="shared" si="1"/>
        <v>0</v>
      </c>
      <c r="AH2" s="26">
        <f t="shared" si="1"/>
        <v>0</v>
      </c>
      <c r="AI2" s="26">
        <f t="shared" si="1"/>
        <v>0</v>
      </c>
      <c r="AJ2" s="26">
        <f t="shared" si="1"/>
        <v>0</v>
      </c>
      <c r="AK2" s="26">
        <f t="shared" si="1"/>
        <v>0</v>
      </c>
      <c r="AL2" s="26">
        <f t="shared" si="1"/>
        <v>0</v>
      </c>
      <c r="AM2" s="26">
        <f t="shared" si="1"/>
        <v>0</v>
      </c>
      <c r="AN2" s="26">
        <f t="shared" si="1"/>
        <v>0</v>
      </c>
      <c r="AO2" s="26">
        <f t="shared" si="1"/>
        <v>0</v>
      </c>
      <c r="AP2" s="26">
        <f t="shared" si="1"/>
        <v>0</v>
      </c>
      <c r="AQ2" s="26">
        <f t="shared" si="1"/>
        <v>0</v>
      </c>
      <c r="AR2" s="26">
        <f t="shared" si="1"/>
        <v>0</v>
      </c>
      <c r="AS2" s="26">
        <f t="shared" si="1"/>
        <v>0</v>
      </c>
      <c r="AT2" s="26">
        <f t="shared" si="1"/>
        <v>0</v>
      </c>
      <c r="AU2" s="26">
        <f t="shared" si="1"/>
        <v>0</v>
      </c>
      <c r="AV2" s="26">
        <f t="shared" si="1"/>
        <v>0</v>
      </c>
      <c r="AW2" s="26">
        <f t="shared" si="1"/>
        <v>0</v>
      </c>
      <c r="AX2" s="26">
        <f t="shared" si="1"/>
        <v>0</v>
      </c>
      <c r="AY2" s="26">
        <f t="shared" si="1"/>
        <v>0</v>
      </c>
      <c r="AZ2" s="26">
        <f t="shared" si="1"/>
        <v>0</v>
      </c>
      <c r="BA2" s="26">
        <f t="shared" si="1"/>
        <v>0</v>
      </c>
      <c r="BB2" s="26">
        <f t="shared" si="1"/>
        <v>0</v>
      </c>
      <c r="BC2" s="26">
        <f t="shared" si="1"/>
        <v>0</v>
      </c>
      <c r="BD2" s="26">
        <f t="shared" si="1"/>
        <v>0</v>
      </c>
      <c r="BE2" s="26">
        <f t="shared" si="1"/>
        <v>0</v>
      </c>
      <c r="BF2" s="26">
        <f t="shared" si="1"/>
        <v>0</v>
      </c>
      <c r="BG2" s="26">
        <f t="shared" si="1"/>
        <v>0</v>
      </c>
      <c r="BH2" s="26">
        <f t="shared" si="1"/>
        <v>0</v>
      </c>
    </row>
    <row r="3" spans="1:60">
      <c r="A3" s="47" t="s">
        <v>22</v>
      </c>
      <c r="B3" s="20">
        <v>20</v>
      </c>
      <c r="C3" s="21">
        <v>4</v>
      </c>
      <c r="D3" s="21">
        <v>5</v>
      </c>
      <c r="E3" s="21">
        <v>22</v>
      </c>
      <c r="F3" s="21">
        <v>2</v>
      </c>
      <c r="G3" s="21">
        <v>4</v>
      </c>
      <c r="H3" s="21">
        <v>4</v>
      </c>
      <c r="I3" s="21">
        <v>7</v>
      </c>
      <c r="J3" s="21">
        <v>15</v>
      </c>
      <c r="K3" s="21">
        <v>3</v>
      </c>
      <c r="L3" s="21">
        <v>4</v>
      </c>
      <c r="M3" s="21">
        <v>3</v>
      </c>
      <c r="N3" s="21">
        <v>3</v>
      </c>
      <c r="O3" s="21">
        <v>20</v>
      </c>
      <c r="P3" s="21">
        <v>4</v>
      </c>
      <c r="Q3" s="21">
        <v>1</v>
      </c>
      <c r="R3" s="21">
        <v>7</v>
      </c>
      <c r="S3" s="21">
        <v>6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6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0</v>
      </c>
      <c r="AW3" s="21">
        <v>0</v>
      </c>
      <c r="AX3" s="21">
        <v>0</v>
      </c>
      <c r="AY3" s="21">
        <v>0</v>
      </c>
      <c r="AZ3" s="21">
        <v>0</v>
      </c>
      <c r="BA3" s="21">
        <v>0</v>
      </c>
      <c r="BB3" s="21">
        <v>0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</row>
    <row r="4" spans="1:60">
      <c r="A4" s="47" t="s">
        <v>23</v>
      </c>
      <c r="B4" s="20">
        <v>4</v>
      </c>
      <c r="C4" s="21">
        <v>0</v>
      </c>
      <c r="D4" s="21">
        <v>0</v>
      </c>
      <c r="E4" s="21">
        <v>7</v>
      </c>
      <c r="F4" s="21">
        <v>0</v>
      </c>
      <c r="G4" s="21">
        <v>0</v>
      </c>
      <c r="H4" s="21">
        <v>0</v>
      </c>
      <c r="I4" s="21">
        <v>0</v>
      </c>
      <c r="J4" s="21">
        <v>6</v>
      </c>
      <c r="K4" s="21">
        <v>0</v>
      </c>
      <c r="L4" s="21">
        <v>0</v>
      </c>
      <c r="M4" s="21">
        <v>0</v>
      </c>
      <c r="N4" s="21">
        <v>0</v>
      </c>
      <c r="O4" s="21">
        <v>3</v>
      </c>
      <c r="P4" s="21">
        <v>0</v>
      </c>
      <c r="Q4" s="21">
        <v>0</v>
      </c>
      <c r="R4" s="21">
        <v>2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2</v>
      </c>
      <c r="Z4" s="21"/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1">
        <v>0</v>
      </c>
    </row>
    <row r="5" spans="1:60">
      <c r="A5" s="47" t="s">
        <v>24</v>
      </c>
      <c r="B5" s="20">
        <v>10</v>
      </c>
      <c r="C5" s="21">
        <v>4</v>
      </c>
      <c r="D5" s="21">
        <v>3</v>
      </c>
      <c r="E5" s="21">
        <v>4</v>
      </c>
      <c r="F5" s="21">
        <v>2</v>
      </c>
      <c r="G5" s="21">
        <v>2</v>
      </c>
      <c r="H5" s="21">
        <v>2</v>
      </c>
      <c r="I5" s="21">
        <v>2</v>
      </c>
      <c r="J5" s="21">
        <v>4</v>
      </c>
      <c r="K5" s="21">
        <v>2</v>
      </c>
      <c r="L5" s="21">
        <v>2</v>
      </c>
      <c r="M5" s="21">
        <v>3</v>
      </c>
      <c r="N5" s="21">
        <v>3</v>
      </c>
      <c r="O5" s="21">
        <v>6</v>
      </c>
      <c r="P5" s="21">
        <v>3</v>
      </c>
      <c r="Q5" s="21">
        <v>3</v>
      </c>
      <c r="R5" s="21">
        <v>3</v>
      </c>
      <c r="S5" s="21">
        <v>3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3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1">
        <v>0</v>
      </c>
    </row>
    <row r="6" spans="1:60">
      <c r="A6" s="47" t="s">
        <v>25</v>
      </c>
      <c r="B6" s="20">
        <v>10</v>
      </c>
      <c r="C6" s="21">
        <v>5</v>
      </c>
      <c r="D6" s="21">
        <v>2</v>
      </c>
      <c r="E6" s="21">
        <v>6</v>
      </c>
      <c r="F6" s="21">
        <v>0</v>
      </c>
      <c r="G6" s="21">
        <v>0</v>
      </c>
      <c r="H6" s="21">
        <v>0</v>
      </c>
      <c r="I6" s="21">
        <v>2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4</v>
      </c>
      <c r="P6" s="21">
        <v>0</v>
      </c>
      <c r="Q6" s="21">
        <v>0</v>
      </c>
      <c r="R6" s="21">
        <v>4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1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</row>
    <row r="7" spans="1:60">
      <c r="A7" s="47" t="s">
        <v>26</v>
      </c>
      <c r="B7" s="20">
        <v>10</v>
      </c>
      <c r="C7" s="21">
        <v>1</v>
      </c>
      <c r="D7" s="21">
        <v>2</v>
      </c>
      <c r="E7" s="21">
        <v>6</v>
      </c>
      <c r="F7" s="21">
        <v>0</v>
      </c>
      <c r="G7" s="21">
        <v>0</v>
      </c>
      <c r="H7" s="21">
        <v>0</v>
      </c>
      <c r="I7" s="21">
        <v>0</v>
      </c>
      <c r="J7" s="21">
        <v>5</v>
      </c>
      <c r="K7" s="21">
        <v>0</v>
      </c>
      <c r="L7" s="21">
        <v>0</v>
      </c>
      <c r="M7" s="21">
        <v>0</v>
      </c>
      <c r="N7" s="21">
        <v>0</v>
      </c>
      <c r="O7" s="21">
        <v>4</v>
      </c>
      <c r="P7" s="21">
        <v>0</v>
      </c>
      <c r="Q7" s="21">
        <v>0</v>
      </c>
      <c r="R7" s="21">
        <v>4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1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</row>
    <row r="8" spans="1:60" ht="15" thickBot="1">
      <c r="A8" s="54" t="s">
        <v>27</v>
      </c>
      <c r="B8" s="20">
        <v>5</v>
      </c>
      <c r="C8" s="20">
        <v>1</v>
      </c>
      <c r="D8" s="20">
        <v>1</v>
      </c>
      <c r="E8" s="20">
        <v>4</v>
      </c>
      <c r="F8" s="20">
        <v>0</v>
      </c>
      <c r="G8" s="20">
        <v>0</v>
      </c>
      <c r="H8" s="20">
        <v>0</v>
      </c>
      <c r="I8" s="20">
        <v>0</v>
      </c>
      <c r="J8" s="20">
        <v>4</v>
      </c>
      <c r="K8" s="20">
        <v>0</v>
      </c>
      <c r="L8" s="20">
        <v>0</v>
      </c>
      <c r="M8" s="20">
        <v>0</v>
      </c>
      <c r="N8" s="20">
        <v>0</v>
      </c>
      <c r="O8" s="20">
        <v>3</v>
      </c>
      <c r="P8" s="20">
        <v>0</v>
      </c>
      <c r="Q8" s="20">
        <v>0</v>
      </c>
      <c r="R8" s="20">
        <v>0</v>
      </c>
      <c r="S8" s="20">
        <v>0</v>
      </c>
      <c r="T8" s="20"/>
      <c r="U8" s="20"/>
      <c r="V8" s="20"/>
      <c r="W8" s="20"/>
      <c r="X8" s="20"/>
      <c r="Y8" s="20">
        <v>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</row>
    <row r="9" spans="1:60">
      <c r="A9" s="1" t="s">
        <v>28</v>
      </c>
      <c r="B9" t="s">
        <v>29</v>
      </c>
      <c r="C9" t="s">
        <v>30</v>
      </c>
      <c r="D9" t="s">
        <v>30</v>
      </c>
      <c r="E9" t="s">
        <v>29</v>
      </c>
      <c r="F9" t="s">
        <v>30</v>
      </c>
      <c r="G9" t="s">
        <v>30</v>
      </c>
      <c r="H9" t="s">
        <v>30</v>
      </c>
      <c r="I9" t="s">
        <v>30</v>
      </c>
      <c r="J9" s="18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29</v>
      </c>
      <c r="P9" t="s">
        <v>30</v>
      </c>
      <c r="Q9" t="s">
        <v>30</v>
      </c>
      <c r="R9" t="s">
        <v>30</v>
      </c>
      <c r="S9" s="18" t="s">
        <v>30</v>
      </c>
      <c r="T9" s="18" t="s">
        <v>31</v>
      </c>
      <c r="U9" s="18" t="s">
        <v>31</v>
      </c>
      <c r="V9" s="18" t="s">
        <v>31</v>
      </c>
      <c r="W9" s="18" t="s">
        <v>31</v>
      </c>
      <c r="X9" s="18" t="s">
        <v>31</v>
      </c>
      <c r="Y9" s="18"/>
      <c r="Z9" s="18"/>
      <c r="AA9" s="18"/>
      <c r="AB9" s="18"/>
      <c r="AC9" s="18" t="s">
        <v>14</v>
      </c>
      <c r="AD9" s="18"/>
      <c r="AE9" s="18"/>
      <c r="AF9" s="18"/>
    </row>
    <row r="10" spans="1:60">
      <c r="A10" s="1" t="s">
        <v>32</v>
      </c>
      <c r="B10" s="57">
        <v>30.3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1:60">
      <c r="A11" s="1" t="s">
        <v>33</v>
      </c>
      <c r="B11" s="57">
        <v>6.4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80D3-A59F-462C-B7E8-DECE9B783CDF}">
  <dimension ref="A1:M15"/>
  <sheetViews>
    <sheetView zoomScale="95" workbookViewId="0">
      <pane xSplit="1" ySplit="1" topLeftCell="H2" activePane="bottomRight" state="frozen"/>
      <selection pane="bottomRight" activeCell="M1" sqref="M1:M9"/>
      <selection pane="bottomLeft" activeCell="A2" sqref="A2"/>
      <selection pane="topRight" activeCell="B1" sqref="B1"/>
    </sheetView>
  </sheetViews>
  <sheetFormatPr defaultColWidth="11.42578125" defaultRowHeight="14.45"/>
  <cols>
    <col min="1" max="1" width="37.5703125" style="1" customWidth="1"/>
    <col min="2" max="2" width="41.5703125" bestFit="1" customWidth="1"/>
    <col min="6" max="6" width="10.85546875"/>
  </cols>
  <sheetData>
    <row r="1" spans="1:13" s="1" customFormat="1">
      <c r="A1" s="25" t="s">
        <v>0</v>
      </c>
      <c r="B1" s="10">
        <v>44745</v>
      </c>
      <c r="C1" s="11">
        <v>44780</v>
      </c>
      <c r="D1" s="11">
        <v>44815</v>
      </c>
      <c r="E1" s="11">
        <v>44850</v>
      </c>
      <c r="F1" s="11">
        <v>44889</v>
      </c>
      <c r="G1" s="11">
        <v>44906</v>
      </c>
      <c r="H1" s="11">
        <v>44941</v>
      </c>
      <c r="I1" s="19">
        <v>44969</v>
      </c>
      <c r="J1" s="19">
        <v>45004</v>
      </c>
      <c r="K1" s="19">
        <v>45025</v>
      </c>
      <c r="L1" s="10">
        <v>45053</v>
      </c>
      <c r="M1" s="13" t="s">
        <v>34</v>
      </c>
    </row>
    <row r="2" spans="1:13" s="29" customFormat="1">
      <c r="A2" s="4" t="s">
        <v>35</v>
      </c>
      <c r="B2" s="26">
        <f t="shared" ref="B2:E2" si="0">B3+B4+B5</f>
        <v>55</v>
      </c>
      <c r="C2" s="26">
        <f t="shared" si="0"/>
        <v>80</v>
      </c>
      <c r="D2" s="27">
        <f t="shared" si="0"/>
        <v>52</v>
      </c>
      <c r="E2" s="27">
        <f t="shared" si="0"/>
        <v>42</v>
      </c>
      <c r="F2" s="27">
        <v>76</v>
      </c>
      <c r="G2" s="27">
        <v>58</v>
      </c>
      <c r="H2" s="27">
        <v>60</v>
      </c>
      <c r="I2" s="27">
        <v>62</v>
      </c>
      <c r="J2" s="27">
        <v>46</v>
      </c>
      <c r="K2" s="27">
        <f>SUM(K3:K5)</f>
        <v>60</v>
      </c>
      <c r="L2" s="26"/>
      <c r="M2" s="28" t="s">
        <v>36</v>
      </c>
    </row>
    <row r="3" spans="1:13" s="7" customFormat="1">
      <c r="A3" s="6" t="s">
        <v>37</v>
      </c>
      <c r="B3" s="20">
        <v>47</v>
      </c>
      <c r="C3" s="21">
        <v>67</v>
      </c>
      <c r="D3" s="21">
        <v>47</v>
      </c>
      <c r="E3" s="21">
        <v>35</v>
      </c>
      <c r="F3" s="21">
        <v>63</v>
      </c>
      <c r="G3" s="21">
        <v>49</v>
      </c>
      <c r="H3" s="21">
        <v>52</v>
      </c>
      <c r="I3" s="21">
        <v>58</v>
      </c>
      <c r="J3" s="21">
        <v>41</v>
      </c>
      <c r="K3" s="21">
        <v>51</v>
      </c>
      <c r="L3" s="20"/>
      <c r="M3" s="15" t="s">
        <v>38</v>
      </c>
    </row>
    <row r="4" spans="1:13" s="7" customFormat="1">
      <c r="A4" s="6" t="s">
        <v>4</v>
      </c>
      <c r="B4" s="20">
        <v>2</v>
      </c>
      <c r="C4" s="21">
        <v>3</v>
      </c>
      <c r="D4" s="21">
        <v>2</v>
      </c>
      <c r="E4" s="21">
        <v>2</v>
      </c>
      <c r="F4" s="21">
        <v>3</v>
      </c>
      <c r="G4" s="21">
        <v>3</v>
      </c>
      <c r="H4" s="21">
        <v>3</v>
      </c>
      <c r="I4" s="21">
        <v>2</v>
      </c>
      <c r="J4" s="21">
        <v>2</v>
      </c>
      <c r="K4" s="21">
        <v>3</v>
      </c>
      <c r="L4" s="20">
        <v>2</v>
      </c>
      <c r="M4" s="15" t="s">
        <v>39</v>
      </c>
    </row>
    <row r="5" spans="1:13" s="7" customFormat="1">
      <c r="A5" s="6" t="s">
        <v>40</v>
      </c>
      <c r="B5" s="20">
        <v>6</v>
      </c>
      <c r="C5" s="21">
        <v>10</v>
      </c>
      <c r="D5" s="21">
        <v>3</v>
      </c>
      <c r="E5" s="21">
        <v>5</v>
      </c>
      <c r="F5" s="21">
        <v>9</v>
      </c>
      <c r="G5" s="21">
        <v>6</v>
      </c>
      <c r="H5" s="21">
        <v>5</v>
      </c>
      <c r="I5" s="21">
        <v>2</v>
      </c>
      <c r="J5" s="21">
        <v>3</v>
      </c>
      <c r="K5" s="21">
        <v>6</v>
      </c>
      <c r="L5" s="20">
        <v>5</v>
      </c>
      <c r="M5" s="15" t="s">
        <v>39</v>
      </c>
    </row>
    <row r="6" spans="1:13" s="9" customFormat="1">
      <c r="A6" s="8" t="s">
        <v>6</v>
      </c>
      <c r="B6" s="20">
        <v>14</v>
      </c>
      <c r="C6" s="21">
        <v>21</v>
      </c>
      <c r="D6" s="21">
        <v>8</v>
      </c>
      <c r="E6" s="21">
        <v>5</v>
      </c>
      <c r="F6" s="21"/>
      <c r="G6" s="21"/>
      <c r="H6" s="21"/>
      <c r="I6" s="21"/>
      <c r="J6" s="21"/>
      <c r="K6" s="21">
        <v>21</v>
      </c>
      <c r="L6" s="20">
        <v>16</v>
      </c>
      <c r="M6" s="15" t="s">
        <v>38</v>
      </c>
    </row>
    <row r="7" spans="1:13" s="7" customFormat="1">
      <c r="A7" s="6" t="s">
        <v>41</v>
      </c>
      <c r="B7" s="20" t="s">
        <v>42</v>
      </c>
      <c r="C7" s="21">
        <v>21</v>
      </c>
      <c r="D7" s="21">
        <v>4</v>
      </c>
      <c r="E7" s="21">
        <v>3</v>
      </c>
      <c r="F7" s="21">
        <v>8</v>
      </c>
      <c r="G7" s="21">
        <v>6</v>
      </c>
      <c r="H7" s="21">
        <v>5</v>
      </c>
      <c r="I7" s="21">
        <v>4</v>
      </c>
      <c r="J7" s="21">
        <v>3</v>
      </c>
      <c r="K7" s="21">
        <v>5</v>
      </c>
      <c r="L7" s="20">
        <v>14</v>
      </c>
      <c r="M7" s="15" t="s">
        <v>43</v>
      </c>
    </row>
    <row r="8" spans="1:13" s="7" customFormat="1">
      <c r="A8" s="8" t="s">
        <v>7</v>
      </c>
      <c r="B8" s="20">
        <v>0</v>
      </c>
      <c r="C8" s="20">
        <v>4</v>
      </c>
      <c r="D8" s="21">
        <f t="shared" ref="D8:K8" si="1">D9+D10</f>
        <v>4</v>
      </c>
      <c r="E8" s="21">
        <f t="shared" si="1"/>
        <v>0</v>
      </c>
      <c r="F8" s="21">
        <f t="shared" si="1"/>
        <v>5</v>
      </c>
      <c r="G8" s="21">
        <f t="shared" si="1"/>
        <v>4</v>
      </c>
      <c r="H8" s="21">
        <f t="shared" si="1"/>
        <v>6</v>
      </c>
      <c r="I8" s="21">
        <f t="shared" si="1"/>
        <v>5</v>
      </c>
      <c r="J8" s="21">
        <f t="shared" si="1"/>
        <v>2</v>
      </c>
      <c r="K8" s="21">
        <f t="shared" si="1"/>
        <v>2</v>
      </c>
      <c r="L8" s="20">
        <v>2</v>
      </c>
      <c r="M8" s="15" t="s">
        <v>43</v>
      </c>
    </row>
    <row r="9" spans="1:13" s="7" customFormat="1">
      <c r="A9" s="6" t="s">
        <v>8</v>
      </c>
      <c r="B9" s="20">
        <v>0</v>
      </c>
      <c r="C9" s="21">
        <v>4</v>
      </c>
      <c r="D9" s="21">
        <v>3</v>
      </c>
      <c r="E9" s="21">
        <v>0</v>
      </c>
      <c r="F9" s="21">
        <v>4</v>
      </c>
      <c r="G9" s="21">
        <v>4</v>
      </c>
      <c r="H9" s="21">
        <v>6</v>
      </c>
      <c r="I9" s="21">
        <v>5</v>
      </c>
      <c r="J9" s="21">
        <v>2</v>
      </c>
      <c r="K9" s="21">
        <v>2</v>
      </c>
      <c r="L9" s="20">
        <v>2</v>
      </c>
      <c r="M9" s="15" t="s">
        <v>43</v>
      </c>
    </row>
    <row r="10" spans="1:13" s="7" customFormat="1">
      <c r="A10" s="6" t="s">
        <v>9</v>
      </c>
      <c r="B10" s="20" t="s">
        <v>44</v>
      </c>
      <c r="C10" s="21">
        <v>0</v>
      </c>
      <c r="D10" s="21">
        <v>1</v>
      </c>
      <c r="E10" s="21">
        <v>0</v>
      </c>
      <c r="F10" s="21">
        <v>1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0">
        <v>0</v>
      </c>
      <c r="M10" s="15" t="s">
        <v>43</v>
      </c>
    </row>
    <row r="11" spans="1:13" s="5" customFormat="1">
      <c r="A11" s="4" t="s">
        <v>45</v>
      </c>
      <c r="B11" s="22">
        <v>9</v>
      </c>
      <c r="C11" s="23">
        <v>3</v>
      </c>
      <c r="D11" s="23">
        <v>4</v>
      </c>
      <c r="E11" s="23">
        <v>3</v>
      </c>
      <c r="F11" s="21">
        <v>1</v>
      </c>
      <c r="G11" s="21">
        <v>3</v>
      </c>
      <c r="H11" s="21">
        <v>4</v>
      </c>
      <c r="I11" s="21">
        <v>2</v>
      </c>
      <c r="J11" s="21"/>
      <c r="K11" s="21">
        <v>5</v>
      </c>
      <c r="L11" s="22">
        <v>1</v>
      </c>
      <c r="M11" s="15" t="s">
        <v>38</v>
      </c>
    </row>
    <row r="12" spans="1:13" s="7" customFormat="1">
      <c r="A12" s="6" t="s">
        <v>11</v>
      </c>
      <c r="B12" s="20">
        <v>4</v>
      </c>
      <c r="C12" s="21">
        <v>1</v>
      </c>
      <c r="D12" s="21">
        <v>0</v>
      </c>
      <c r="E12" s="21">
        <v>1</v>
      </c>
      <c r="F12" s="21">
        <v>0</v>
      </c>
      <c r="G12" s="21"/>
      <c r="H12" s="21">
        <v>3</v>
      </c>
      <c r="I12" s="21">
        <v>0</v>
      </c>
      <c r="J12" s="21">
        <v>0</v>
      </c>
      <c r="K12" s="21">
        <v>0</v>
      </c>
      <c r="L12" s="20">
        <v>0</v>
      </c>
      <c r="M12" s="15" t="s">
        <v>43</v>
      </c>
    </row>
    <row r="13" spans="1:13" s="3" customFormat="1">
      <c r="A13" s="2" t="s">
        <v>12</v>
      </c>
      <c r="B13" s="22">
        <v>1</v>
      </c>
      <c r="C13" s="23" t="s">
        <v>46</v>
      </c>
      <c r="D13" s="23">
        <v>2</v>
      </c>
      <c r="E13" s="23">
        <v>0</v>
      </c>
      <c r="F13" s="23">
        <v>0</v>
      </c>
      <c r="G13" s="23"/>
      <c r="H13" s="23">
        <v>3</v>
      </c>
      <c r="I13" s="23"/>
      <c r="J13" s="23">
        <v>0</v>
      </c>
      <c r="K13" s="23">
        <v>3</v>
      </c>
      <c r="L13" s="22">
        <v>0</v>
      </c>
      <c r="M13" s="14" t="s">
        <v>43</v>
      </c>
    </row>
    <row r="14" spans="1:13" s="16" customFormat="1">
      <c r="A14" s="17" t="s">
        <v>13</v>
      </c>
      <c r="B14" s="24">
        <v>1</v>
      </c>
      <c r="C14" s="22">
        <v>3</v>
      </c>
      <c r="D14" s="23">
        <v>1</v>
      </c>
      <c r="E14" s="23">
        <v>0</v>
      </c>
      <c r="F14" s="23">
        <v>0</v>
      </c>
      <c r="G14" s="23"/>
      <c r="H14" s="23">
        <v>1</v>
      </c>
      <c r="I14" s="23">
        <v>0</v>
      </c>
      <c r="J14" s="23">
        <v>0</v>
      </c>
      <c r="K14" s="23">
        <v>1</v>
      </c>
      <c r="L14" s="22">
        <v>0</v>
      </c>
      <c r="M14" s="14" t="s">
        <v>43</v>
      </c>
    </row>
    <row r="15" spans="1:13">
      <c r="K15" s="18"/>
    </row>
  </sheetData>
  <pageMargins left="0.7" right="0.7" top="0.78740157499999996" bottom="0.78740157499999996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A760-0429-4BF4-AE54-0DEC1838A7D4}">
  <dimension ref="A1:AJ39"/>
  <sheetViews>
    <sheetView zoomScale="95" zoomScaleNormal="145" workbookViewId="0">
      <pane xSplit="1" ySplit="1" topLeftCell="B8" activePane="bottomRight" state="frozen"/>
      <selection pane="bottomRight" activeCell="B15" sqref="B15:B19"/>
      <selection pane="bottomLeft"/>
      <selection pane="topRight"/>
    </sheetView>
  </sheetViews>
  <sheetFormatPr defaultColWidth="11.42578125" defaultRowHeight="14.45"/>
  <cols>
    <col min="1" max="1" width="37.5703125" style="44" customWidth="1"/>
    <col min="2" max="16384" width="11.42578125" style="18"/>
  </cols>
  <sheetData>
    <row r="1" spans="1:30" s="44" customFormat="1">
      <c r="A1" s="41" t="s">
        <v>0</v>
      </c>
      <c r="B1" s="42">
        <v>45095</v>
      </c>
      <c r="C1" s="42">
        <v>45109</v>
      </c>
      <c r="D1" s="42">
        <v>45123</v>
      </c>
      <c r="E1" s="42">
        <v>45151</v>
      </c>
      <c r="F1" s="42">
        <v>45179</v>
      </c>
      <c r="G1" s="42">
        <v>45193</v>
      </c>
      <c r="H1" s="42">
        <v>45207</v>
      </c>
      <c r="I1" s="42">
        <v>45221</v>
      </c>
      <c r="J1" s="42">
        <v>45235</v>
      </c>
      <c r="K1" s="43">
        <v>45263</v>
      </c>
      <c r="M1" s="33">
        <v>45305</v>
      </c>
      <c r="N1" s="33">
        <v>45319</v>
      </c>
      <c r="O1" s="33">
        <v>45333</v>
      </c>
      <c r="P1" s="33">
        <v>45361</v>
      </c>
      <c r="Q1" s="33">
        <v>45375</v>
      </c>
      <c r="R1" s="45" t="s">
        <v>47</v>
      </c>
      <c r="S1" s="45" t="s">
        <v>48</v>
      </c>
      <c r="T1" s="33">
        <v>45417</v>
      </c>
      <c r="U1" s="33">
        <v>45431</v>
      </c>
      <c r="V1" s="33">
        <v>45445</v>
      </c>
      <c r="W1" s="33">
        <v>45459</v>
      </c>
      <c r="X1" s="33">
        <v>45473</v>
      </c>
      <c r="Y1" s="33">
        <v>45501</v>
      </c>
      <c r="AA1" s="33">
        <v>45543</v>
      </c>
      <c r="AB1" s="33">
        <v>45557</v>
      </c>
      <c r="AC1" s="33">
        <v>45571</v>
      </c>
    </row>
    <row r="2" spans="1:30" s="34" customFormat="1">
      <c r="A2" s="46" t="s">
        <v>49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30" s="35" customFormat="1">
      <c r="A3" s="47" t="s">
        <v>50</v>
      </c>
      <c r="B3" s="48">
        <v>13</v>
      </c>
      <c r="C3" s="48"/>
      <c r="D3" s="48">
        <v>14</v>
      </c>
      <c r="E3" s="48">
        <v>15</v>
      </c>
      <c r="F3" s="48">
        <v>15</v>
      </c>
      <c r="G3" s="48">
        <v>7</v>
      </c>
      <c r="H3" s="48">
        <v>9</v>
      </c>
      <c r="I3" s="48">
        <v>6</v>
      </c>
      <c r="J3" s="48">
        <v>9</v>
      </c>
      <c r="K3" s="49">
        <v>8</v>
      </c>
      <c r="M3" s="35">
        <v>10</v>
      </c>
      <c r="O3" s="35">
        <v>10</v>
      </c>
      <c r="P3" s="35">
        <v>8</v>
      </c>
      <c r="Q3" s="35">
        <v>0</v>
      </c>
      <c r="R3" s="35">
        <v>14</v>
      </c>
      <c r="S3" s="35">
        <v>14</v>
      </c>
      <c r="T3" s="35">
        <v>12</v>
      </c>
      <c r="U3" s="35">
        <v>13</v>
      </c>
      <c r="V3" s="35">
        <v>7</v>
      </c>
      <c r="W3" s="35">
        <v>17</v>
      </c>
      <c r="X3" s="35">
        <v>7</v>
      </c>
      <c r="Y3" s="35">
        <v>9</v>
      </c>
      <c r="AA3" s="35">
        <v>8</v>
      </c>
      <c r="AB3" s="35">
        <v>0</v>
      </c>
      <c r="AC3" s="35">
        <v>0</v>
      </c>
    </row>
    <row r="4" spans="1:30" s="35" customFormat="1">
      <c r="A4" s="47" t="s">
        <v>51</v>
      </c>
      <c r="B4" s="48">
        <v>6</v>
      </c>
      <c r="C4" s="48">
        <v>0</v>
      </c>
      <c r="D4" s="48">
        <v>6</v>
      </c>
      <c r="E4" s="48">
        <v>7</v>
      </c>
      <c r="F4" s="48">
        <v>7</v>
      </c>
      <c r="G4" s="48">
        <v>4</v>
      </c>
      <c r="H4" s="48">
        <v>5</v>
      </c>
      <c r="I4" s="48">
        <v>3</v>
      </c>
      <c r="J4" s="48">
        <v>5</v>
      </c>
      <c r="K4" s="49">
        <v>4</v>
      </c>
      <c r="M4" s="35">
        <v>5</v>
      </c>
      <c r="N4" s="35">
        <v>0</v>
      </c>
      <c r="O4" s="35">
        <v>5</v>
      </c>
      <c r="P4" s="35">
        <v>5</v>
      </c>
      <c r="Q4" s="35">
        <v>0</v>
      </c>
      <c r="R4" s="35">
        <v>7</v>
      </c>
      <c r="S4" s="35">
        <v>8</v>
      </c>
      <c r="T4" s="35">
        <v>6</v>
      </c>
      <c r="U4" s="35">
        <v>6</v>
      </c>
      <c r="V4" s="35">
        <v>3</v>
      </c>
      <c r="W4" s="35">
        <v>8</v>
      </c>
      <c r="X4" s="35">
        <v>3</v>
      </c>
      <c r="Y4" s="35">
        <v>5</v>
      </c>
      <c r="AA4" s="35">
        <v>5</v>
      </c>
      <c r="AB4" s="35">
        <v>0</v>
      </c>
      <c r="AC4" s="35">
        <v>0</v>
      </c>
    </row>
    <row r="5" spans="1:30" s="35" customFormat="1">
      <c r="A5" s="47" t="s">
        <v>25</v>
      </c>
      <c r="B5" s="48">
        <v>8</v>
      </c>
      <c r="C5" s="48">
        <v>0</v>
      </c>
      <c r="D5" s="48">
        <v>2</v>
      </c>
      <c r="E5" s="48">
        <v>2</v>
      </c>
      <c r="F5" s="48">
        <v>1</v>
      </c>
      <c r="G5" s="48">
        <v>0</v>
      </c>
      <c r="H5" s="48">
        <v>0</v>
      </c>
      <c r="I5" s="48">
        <v>0</v>
      </c>
      <c r="J5" s="48">
        <v>0</v>
      </c>
      <c r="K5" s="49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1</v>
      </c>
      <c r="U5" s="35">
        <v>0</v>
      </c>
      <c r="V5" s="35">
        <v>0</v>
      </c>
      <c r="W5" s="35">
        <v>5</v>
      </c>
      <c r="X5" s="35">
        <v>0</v>
      </c>
      <c r="Y5" s="35">
        <v>0</v>
      </c>
      <c r="AA5" s="35">
        <v>0</v>
      </c>
      <c r="AB5" s="35">
        <v>0</v>
      </c>
      <c r="AC5" s="35">
        <v>0</v>
      </c>
    </row>
    <row r="6" spans="1:30" s="35" customFormat="1">
      <c r="A6" s="47" t="s">
        <v>26</v>
      </c>
      <c r="B6" s="48">
        <v>0</v>
      </c>
      <c r="C6" s="48">
        <v>0</v>
      </c>
      <c r="D6" s="48">
        <v>0</v>
      </c>
      <c r="E6" s="48">
        <v>2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9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AA6" s="35">
        <v>0</v>
      </c>
      <c r="AB6" s="35">
        <v>0</v>
      </c>
      <c r="AC6" s="35">
        <v>0</v>
      </c>
    </row>
    <row r="7" spans="1:30" s="36" customFormat="1">
      <c r="A7" s="50" t="s">
        <v>27</v>
      </c>
      <c r="B7" s="51">
        <v>2</v>
      </c>
      <c r="C7" s="51">
        <v>0</v>
      </c>
      <c r="D7" s="51">
        <v>0</v>
      </c>
      <c r="E7" s="51">
        <v>1</v>
      </c>
      <c r="F7" s="51">
        <v>0</v>
      </c>
      <c r="G7" s="51">
        <v>0</v>
      </c>
      <c r="H7" s="51">
        <v>0</v>
      </c>
      <c r="I7" s="51">
        <v>0</v>
      </c>
      <c r="J7" s="51">
        <v>0</v>
      </c>
      <c r="K7" s="52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AA7" s="36">
        <v>0</v>
      </c>
      <c r="AB7" s="36">
        <v>0</v>
      </c>
      <c r="AC7" s="36">
        <v>0</v>
      </c>
    </row>
    <row r="8" spans="1:30" s="34" customFormat="1">
      <c r="A8" s="53" t="s">
        <v>52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30" s="35" customFormat="1">
      <c r="A9" s="47" t="s">
        <v>50</v>
      </c>
      <c r="B9" s="48">
        <v>28</v>
      </c>
      <c r="C9" s="48">
        <v>16</v>
      </c>
      <c r="D9" s="48">
        <v>13</v>
      </c>
      <c r="E9" s="48">
        <v>12</v>
      </c>
      <c r="F9" s="48">
        <v>16</v>
      </c>
      <c r="G9" s="48">
        <v>11</v>
      </c>
      <c r="H9" s="48">
        <v>24</v>
      </c>
      <c r="I9" s="48">
        <v>15</v>
      </c>
      <c r="J9" s="48">
        <v>16</v>
      </c>
      <c r="K9" s="49">
        <v>15</v>
      </c>
      <c r="M9" s="35">
        <v>17</v>
      </c>
      <c r="N9" s="35">
        <v>13</v>
      </c>
      <c r="O9" s="35">
        <v>15</v>
      </c>
      <c r="P9" s="35">
        <v>12</v>
      </c>
      <c r="Q9" s="35">
        <v>20</v>
      </c>
      <c r="R9" s="35">
        <v>14</v>
      </c>
      <c r="S9" s="35">
        <v>27</v>
      </c>
      <c r="T9" s="35">
        <v>26</v>
      </c>
      <c r="U9" s="35">
        <v>17</v>
      </c>
      <c r="V9" s="35">
        <v>16</v>
      </c>
      <c r="W9" s="35">
        <v>11</v>
      </c>
      <c r="X9" s="35">
        <v>13</v>
      </c>
      <c r="Y9" s="35">
        <v>12</v>
      </c>
      <c r="AA9" s="35">
        <v>14</v>
      </c>
      <c r="AB9" s="35">
        <v>14</v>
      </c>
      <c r="AC9" s="35">
        <v>18</v>
      </c>
    </row>
    <row r="10" spans="1:30" s="35" customFormat="1">
      <c r="A10" s="47" t="s">
        <v>53</v>
      </c>
      <c r="B10" s="48">
        <v>0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2</v>
      </c>
      <c r="I10" s="48">
        <v>0</v>
      </c>
      <c r="J10" s="48">
        <v>0</v>
      </c>
      <c r="K10" s="49">
        <v>0</v>
      </c>
      <c r="M10" s="35">
        <v>0</v>
      </c>
      <c r="N10" s="35">
        <v>0</v>
      </c>
      <c r="O10" s="35">
        <v>0</v>
      </c>
      <c r="P10" s="35">
        <v>1</v>
      </c>
      <c r="Q10" s="35">
        <v>0</v>
      </c>
      <c r="R10" s="35">
        <v>0</v>
      </c>
      <c r="S10" s="39">
        <v>2</v>
      </c>
      <c r="T10" s="35">
        <v>3</v>
      </c>
      <c r="U10" s="35">
        <v>4</v>
      </c>
      <c r="V10" s="35">
        <v>3</v>
      </c>
      <c r="W10" s="35">
        <v>3</v>
      </c>
      <c r="X10" s="35">
        <v>1</v>
      </c>
      <c r="Y10" s="35">
        <v>0</v>
      </c>
      <c r="AA10" s="35">
        <v>2</v>
      </c>
      <c r="AB10" s="35">
        <v>3</v>
      </c>
      <c r="AC10" s="35">
        <v>2</v>
      </c>
    </row>
    <row r="11" spans="1:30" s="35" customFormat="1">
      <c r="A11" s="47" t="s">
        <v>25</v>
      </c>
      <c r="B11" s="48">
        <v>8</v>
      </c>
      <c r="C11" s="48">
        <v>2</v>
      </c>
      <c r="D11" s="48">
        <v>1</v>
      </c>
      <c r="E11" s="48">
        <v>1</v>
      </c>
      <c r="F11" s="48">
        <v>1</v>
      </c>
      <c r="G11" s="48">
        <v>1</v>
      </c>
      <c r="H11" s="48">
        <v>8</v>
      </c>
      <c r="I11" s="48">
        <v>4</v>
      </c>
      <c r="J11" s="48">
        <v>5</v>
      </c>
      <c r="K11" s="49">
        <v>3</v>
      </c>
      <c r="M11" s="35">
        <v>3</v>
      </c>
      <c r="N11" s="35">
        <v>2</v>
      </c>
      <c r="O11" s="35">
        <v>5</v>
      </c>
      <c r="P11" s="35">
        <v>5</v>
      </c>
      <c r="Q11" s="35">
        <v>7</v>
      </c>
      <c r="R11" s="35">
        <v>3</v>
      </c>
      <c r="S11" s="35">
        <v>3</v>
      </c>
      <c r="T11" s="35">
        <v>8</v>
      </c>
      <c r="U11" s="35">
        <v>2</v>
      </c>
      <c r="V11" s="35">
        <v>1</v>
      </c>
      <c r="W11" s="35">
        <v>0</v>
      </c>
      <c r="X11" s="35">
        <v>1</v>
      </c>
      <c r="Y11" s="35">
        <v>7</v>
      </c>
      <c r="AA11" s="35">
        <v>2</v>
      </c>
      <c r="AB11" s="35">
        <v>1</v>
      </c>
      <c r="AC11" s="35">
        <v>2</v>
      </c>
    </row>
    <row r="12" spans="1:30" s="35" customFormat="1">
      <c r="A12" s="47" t="s">
        <v>26</v>
      </c>
      <c r="B12" s="48">
        <v>5</v>
      </c>
      <c r="C12" s="48">
        <v>2</v>
      </c>
      <c r="D12" s="48">
        <v>0</v>
      </c>
      <c r="E12" s="48">
        <v>0</v>
      </c>
      <c r="F12" s="48">
        <v>1</v>
      </c>
      <c r="G12" s="48">
        <v>1</v>
      </c>
      <c r="H12" s="48">
        <v>4</v>
      </c>
      <c r="I12" s="48">
        <v>3</v>
      </c>
      <c r="J12" s="48">
        <v>2</v>
      </c>
      <c r="K12" s="49">
        <v>3</v>
      </c>
      <c r="M12" s="35">
        <v>2</v>
      </c>
      <c r="N12" s="35">
        <v>2</v>
      </c>
      <c r="O12" s="35">
        <v>1</v>
      </c>
      <c r="P12" s="35">
        <v>0</v>
      </c>
      <c r="Q12" s="35">
        <v>2</v>
      </c>
      <c r="R12" s="35">
        <v>0</v>
      </c>
      <c r="S12" s="35">
        <v>2</v>
      </c>
      <c r="T12" s="35">
        <v>3</v>
      </c>
      <c r="U12" s="35">
        <v>2</v>
      </c>
      <c r="V12" s="35">
        <v>1</v>
      </c>
      <c r="W12" s="35">
        <v>0</v>
      </c>
      <c r="X12" s="35">
        <v>0</v>
      </c>
      <c r="Y12" s="35">
        <v>2</v>
      </c>
      <c r="AA12" s="35">
        <v>1</v>
      </c>
      <c r="AB12" s="35">
        <v>0</v>
      </c>
      <c r="AC12" s="35">
        <v>1</v>
      </c>
    </row>
    <row r="13" spans="1:30" s="36" customFormat="1">
      <c r="A13" s="50" t="s">
        <v>27</v>
      </c>
      <c r="B13" s="51">
        <v>4</v>
      </c>
      <c r="C13" s="51">
        <v>0</v>
      </c>
      <c r="D13" s="51">
        <v>0</v>
      </c>
      <c r="E13" s="51">
        <v>1</v>
      </c>
      <c r="F13" s="51">
        <v>0</v>
      </c>
      <c r="G13" s="51">
        <v>0</v>
      </c>
      <c r="H13" s="51">
        <v>0</v>
      </c>
      <c r="I13" s="51">
        <v>4</v>
      </c>
      <c r="J13" s="51">
        <v>0</v>
      </c>
      <c r="K13" s="52">
        <v>2</v>
      </c>
      <c r="M13" s="36">
        <v>2</v>
      </c>
      <c r="N13" s="36">
        <v>2</v>
      </c>
      <c r="O13" s="36">
        <v>1</v>
      </c>
      <c r="P13" s="36">
        <v>1</v>
      </c>
      <c r="Q13" s="36">
        <v>2</v>
      </c>
      <c r="R13" s="36">
        <v>1</v>
      </c>
      <c r="S13" s="36">
        <v>2</v>
      </c>
      <c r="T13" s="36">
        <v>2</v>
      </c>
      <c r="U13" s="36">
        <v>1</v>
      </c>
      <c r="V13" s="36">
        <v>1</v>
      </c>
      <c r="W13" s="36">
        <v>0</v>
      </c>
      <c r="X13" s="36">
        <v>0</v>
      </c>
      <c r="Y13" s="36">
        <v>0</v>
      </c>
      <c r="AA13" s="36">
        <v>2</v>
      </c>
      <c r="AB13" s="36">
        <v>1</v>
      </c>
      <c r="AC13" s="36">
        <v>1</v>
      </c>
    </row>
    <row r="14" spans="1:30" s="34" customFormat="1">
      <c r="A14" s="53" t="s">
        <v>54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30" s="34" customFormat="1">
      <c r="A15" s="47" t="s">
        <v>50</v>
      </c>
      <c r="B15" s="48">
        <v>13</v>
      </c>
      <c r="C15" s="48">
        <v>12</v>
      </c>
      <c r="D15" s="48">
        <v>11</v>
      </c>
      <c r="E15" s="48">
        <v>9</v>
      </c>
      <c r="F15" s="48">
        <v>12</v>
      </c>
      <c r="G15" s="48">
        <v>6</v>
      </c>
      <c r="H15" s="48">
        <v>8</v>
      </c>
      <c r="I15" s="48">
        <v>8</v>
      </c>
      <c r="J15" s="48">
        <v>10</v>
      </c>
      <c r="K15" s="49">
        <v>7</v>
      </c>
      <c r="L15" s="35"/>
      <c r="M15" s="35">
        <v>9</v>
      </c>
      <c r="N15" s="35">
        <v>10</v>
      </c>
      <c r="O15" s="35">
        <v>10</v>
      </c>
      <c r="P15" s="35">
        <v>14</v>
      </c>
      <c r="Q15" s="35">
        <v>11</v>
      </c>
      <c r="R15" s="35">
        <v>14</v>
      </c>
      <c r="S15" s="35">
        <v>11</v>
      </c>
      <c r="T15" s="35">
        <v>10</v>
      </c>
      <c r="U15" s="35">
        <v>19</v>
      </c>
      <c r="V15" s="35">
        <v>7</v>
      </c>
      <c r="W15" s="35">
        <v>8</v>
      </c>
      <c r="X15" s="35">
        <v>9</v>
      </c>
      <c r="Y15" s="35">
        <v>9</v>
      </c>
      <c r="Z15" s="35"/>
      <c r="AA15" s="35">
        <v>0</v>
      </c>
      <c r="AB15" s="35">
        <v>9</v>
      </c>
      <c r="AC15" s="35">
        <v>6</v>
      </c>
      <c r="AD15" s="35"/>
    </row>
    <row r="16" spans="1:30" s="37" customFormat="1">
      <c r="A16" s="47" t="s">
        <v>55</v>
      </c>
      <c r="B16" s="48">
        <v>0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9">
        <v>0</v>
      </c>
      <c r="L16" s="35"/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4</v>
      </c>
      <c r="V16" s="35">
        <v>0</v>
      </c>
      <c r="W16" s="35">
        <v>0</v>
      </c>
      <c r="X16" s="35">
        <v>0</v>
      </c>
      <c r="Y16" s="35">
        <v>0</v>
      </c>
      <c r="Z16" s="35"/>
      <c r="AA16" s="35">
        <v>0</v>
      </c>
      <c r="AB16" s="35">
        <v>0</v>
      </c>
      <c r="AC16" s="35">
        <v>0</v>
      </c>
      <c r="AD16" s="35"/>
    </row>
    <row r="17" spans="1:36">
      <c r="A17" s="47" t="s">
        <v>25</v>
      </c>
      <c r="B17" s="48">
        <v>4</v>
      </c>
      <c r="C17" s="48">
        <v>2</v>
      </c>
      <c r="D17" s="48">
        <v>4</v>
      </c>
      <c r="E17" s="48">
        <v>2</v>
      </c>
      <c r="F17" s="48">
        <v>3</v>
      </c>
      <c r="G17" s="48">
        <v>0</v>
      </c>
      <c r="H17" s="48">
        <v>4</v>
      </c>
      <c r="I17" s="48">
        <v>0</v>
      </c>
      <c r="J17" s="48">
        <v>2</v>
      </c>
      <c r="K17" s="49">
        <v>0</v>
      </c>
      <c r="L17" s="35"/>
      <c r="M17" s="35">
        <v>4</v>
      </c>
      <c r="N17" s="35">
        <v>2</v>
      </c>
      <c r="O17" s="35">
        <v>2</v>
      </c>
      <c r="P17" s="35">
        <v>1</v>
      </c>
      <c r="Q17" s="35">
        <v>2</v>
      </c>
      <c r="R17" s="35">
        <v>3</v>
      </c>
      <c r="S17" s="35">
        <v>3</v>
      </c>
      <c r="T17" s="35">
        <v>1</v>
      </c>
      <c r="U17" s="35">
        <v>10</v>
      </c>
      <c r="V17" s="35">
        <v>0</v>
      </c>
      <c r="W17" s="35">
        <v>0</v>
      </c>
      <c r="X17" s="35">
        <v>1</v>
      </c>
      <c r="Y17" s="35">
        <v>0</v>
      </c>
      <c r="Z17" s="35"/>
      <c r="AA17" s="35">
        <v>0</v>
      </c>
      <c r="AB17" s="35">
        <v>2</v>
      </c>
      <c r="AC17" s="35">
        <v>0</v>
      </c>
      <c r="AD17" s="35"/>
      <c r="AE17" s="35"/>
      <c r="AF17" s="35"/>
      <c r="AG17" s="35"/>
      <c r="AH17" s="35"/>
      <c r="AI17" s="35"/>
    </row>
    <row r="18" spans="1:36">
      <c r="A18" s="47" t="s">
        <v>26</v>
      </c>
      <c r="B18" s="48">
        <v>2</v>
      </c>
      <c r="C18" s="48">
        <v>2</v>
      </c>
      <c r="D18" s="48">
        <v>1</v>
      </c>
      <c r="E18" s="48">
        <v>2</v>
      </c>
      <c r="F18" s="48">
        <v>0</v>
      </c>
      <c r="G18" s="48">
        <v>0</v>
      </c>
      <c r="H18" s="48">
        <v>3</v>
      </c>
      <c r="I18" s="48">
        <v>0</v>
      </c>
      <c r="J18" s="48">
        <v>2</v>
      </c>
      <c r="K18" s="49">
        <v>0</v>
      </c>
      <c r="L18" s="35"/>
      <c r="M18" s="35">
        <v>3</v>
      </c>
      <c r="N18" s="18">
        <v>0</v>
      </c>
      <c r="O18" s="35">
        <v>0</v>
      </c>
      <c r="P18" s="35">
        <v>0</v>
      </c>
      <c r="Q18" s="35">
        <v>0</v>
      </c>
      <c r="R18" s="35">
        <v>2</v>
      </c>
      <c r="S18" s="35">
        <v>0</v>
      </c>
      <c r="T18" s="35">
        <v>0</v>
      </c>
      <c r="U18" s="35">
        <v>10</v>
      </c>
      <c r="V18" s="35">
        <v>0</v>
      </c>
      <c r="W18" s="35">
        <v>0</v>
      </c>
      <c r="X18" s="35">
        <v>0</v>
      </c>
      <c r="Y18" s="35">
        <v>0</v>
      </c>
      <c r="Z18" s="35"/>
      <c r="AA18" s="35">
        <v>0</v>
      </c>
      <c r="AB18" s="35">
        <v>2</v>
      </c>
      <c r="AC18" s="35">
        <v>0</v>
      </c>
      <c r="AD18" s="35"/>
      <c r="AE18" s="35"/>
      <c r="AF18" s="35"/>
      <c r="AG18" s="35"/>
      <c r="AH18" s="35"/>
      <c r="AI18" s="35"/>
    </row>
    <row r="19" spans="1:36" ht="15" thickBot="1">
      <c r="A19" s="54" t="s">
        <v>27</v>
      </c>
      <c r="B19" s="51">
        <v>1</v>
      </c>
      <c r="C19" s="51">
        <v>3</v>
      </c>
      <c r="D19" s="51">
        <v>0</v>
      </c>
      <c r="E19" s="51">
        <v>1</v>
      </c>
      <c r="F19" s="51">
        <v>0</v>
      </c>
      <c r="G19" s="51">
        <v>0</v>
      </c>
      <c r="H19" s="51">
        <v>1</v>
      </c>
      <c r="I19" s="51">
        <v>0</v>
      </c>
      <c r="J19" s="51">
        <v>1</v>
      </c>
      <c r="K19" s="52">
        <v>0</v>
      </c>
      <c r="L19" s="36"/>
      <c r="M19" s="36">
        <v>0</v>
      </c>
      <c r="N19" s="36">
        <v>0</v>
      </c>
      <c r="O19" s="36">
        <v>0</v>
      </c>
      <c r="P19" s="36">
        <v>2</v>
      </c>
      <c r="Q19" s="36">
        <v>2</v>
      </c>
      <c r="R19" s="36">
        <v>2</v>
      </c>
      <c r="S19" s="36">
        <v>1</v>
      </c>
      <c r="T19" s="36">
        <v>1</v>
      </c>
      <c r="U19" s="36">
        <v>2</v>
      </c>
      <c r="V19" s="36">
        <v>0</v>
      </c>
      <c r="W19" s="36">
        <v>0</v>
      </c>
      <c r="X19" s="36">
        <v>0</v>
      </c>
      <c r="Y19" s="36">
        <v>0</v>
      </c>
      <c r="Z19" s="36"/>
      <c r="AA19" s="36">
        <v>0</v>
      </c>
      <c r="AB19" s="36">
        <v>1</v>
      </c>
      <c r="AC19" s="36">
        <v>1</v>
      </c>
      <c r="AD19" s="36"/>
      <c r="AE19" s="36"/>
      <c r="AF19" s="36"/>
      <c r="AG19" s="36"/>
      <c r="AH19" s="36"/>
      <c r="AI19" s="36"/>
    </row>
    <row r="20" spans="1:36">
      <c r="A20" s="53" t="s">
        <v>56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Y20" s="34"/>
      <c r="Z20" s="34"/>
      <c r="AA20" s="34"/>
      <c r="AB20" s="34"/>
      <c r="AC20" s="34"/>
      <c r="AD20" s="34"/>
    </row>
    <row r="21" spans="1:36">
      <c r="A21" s="47" t="s">
        <v>50</v>
      </c>
      <c r="B21" s="48">
        <v>9</v>
      </c>
      <c r="C21" s="48">
        <v>4</v>
      </c>
      <c r="D21" s="48">
        <v>12</v>
      </c>
      <c r="E21" s="48">
        <v>6</v>
      </c>
      <c r="F21" s="48"/>
      <c r="G21" s="48">
        <v>8</v>
      </c>
      <c r="H21" s="48">
        <v>10</v>
      </c>
      <c r="I21" s="48">
        <v>11</v>
      </c>
      <c r="J21" s="48">
        <v>10</v>
      </c>
      <c r="K21" s="49">
        <v>11</v>
      </c>
      <c r="L21" s="35"/>
      <c r="M21" s="35">
        <v>13</v>
      </c>
      <c r="N21" s="35">
        <v>10</v>
      </c>
      <c r="O21" s="35">
        <v>13</v>
      </c>
      <c r="P21" s="35">
        <v>11</v>
      </c>
      <c r="Q21" s="35">
        <v>7</v>
      </c>
      <c r="R21" s="35">
        <v>5</v>
      </c>
      <c r="S21" s="35">
        <v>9</v>
      </c>
      <c r="T21" s="35">
        <v>12</v>
      </c>
      <c r="U21" s="35">
        <v>7</v>
      </c>
      <c r="V21" s="35">
        <v>6</v>
      </c>
      <c r="W21" s="35">
        <v>4</v>
      </c>
      <c r="X21" s="35">
        <v>14</v>
      </c>
      <c r="Y21" s="35">
        <v>3</v>
      </c>
      <c r="Z21" s="35"/>
      <c r="AA21" s="35">
        <v>9</v>
      </c>
      <c r="AB21" s="35">
        <v>7</v>
      </c>
      <c r="AC21" s="35">
        <v>4</v>
      </c>
      <c r="AD21" s="35"/>
      <c r="AE21" s="35"/>
      <c r="AF21" s="35"/>
      <c r="AG21" s="35"/>
      <c r="AH21" s="35"/>
      <c r="AI21" s="35"/>
      <c r="AJ21" s="35"/>
    </row>
    <row r="22" spans="1:36">
      <c r="A22" s="47" t="s">
        <v>55</v>
      </c>
      <c r="B22" s="48">
        <v>0</v>
      </c>
      <c r="C22" s="48">
        <v>0</v>
      </c>
      <c r="D22" s="48">
        <v>1</v>
      </c>
      <c r="E22" s="48"/>
      <c r="F22" s="48"/>
      <c r="G22" s="48">
        <v>0</v>
      </c>
      <c r="H22" s="48">
        <v>0</v>
      </c>
      <c r="I22" s="48">
        <v>0</v>
      </c>
      <c r="J22" s="48">
        <v>0</v>
      </c>
      <c r="K22" s="49">
        <v>0</v>
      </c>
      <c r="L22" s="35"/>
      <c r="M22" s="35">
        <v>0</v>
      </c>
      <c r="N22" s="35">
        <v>0</v>
      </c>
      <c r="O22" s="35"/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/>
      <c r="AA22" s="35">
        <v>0</v>
      </c>
      <c r="AB22" s="35">
        <v>0</v>
      </c>
      <c r="AC22" s="35">
        <v>0</v>
      </c>
      <c r="AD22" s="35"/>
      <c r="AE22" s="35"/>
      <c r="AF22" s="35"/>
      <c r="AG22" s="35"/>
      <c r="AH22" s="35"/>
      <c r="AI22" s="35"/>
      <c r="AJ22" s="35"/>
    </row>
    <row r="23" spans="1:36">
      <c r="A23" s="47" t="s">
        <v>25</v>
      </c>
      <c r="B23" s="48">
        <v>2</v>
      </c>
      <c r="C23" s="48">
        <v>0</v>
      </c>
      <c r="D23" s="48">
        <v>5</v>
      </c>
      <c r="E23" s="48">
        <v>2</v>
      </c>
      <c r="F23" s="48"/>
      <c r="G23" s="48">
        <v>2</v>
      </c>
      <c r="H23" s="48">
        <v>0</v>
      </c>
      <c r="I23" s="48">
        <v>4</v>
      </c>
      <c r="J23" s="48">
        <v>1</v>
      </c>
      <c r="K23" s="49">
        <v>0</v>
      </c>
      <c r="L23" s="35"/>
      <c r="M23" s="35">
        <v>5</v>
      </c>
      <c r="N23" s="35">
        <v>1</v>
      </c>
      <c r="O23" s="35">
        <v>1</v>
      </c>
      <c r="P23" s="35">
        <v>3</v>
      </c>
      <c r="Q23" s="35">
        <v>0</v>
      </c>
      <c r="R23" s="35">
        <v>1</v>
      </c>
      <c r="S23" s="35">
        <v>1</v>
      </c>
      <c r="T23" s="35">
        <v>2</v>
      </c>
      <c r="U23" s="35">
        <v>0</v>
      </c>
      <c r="V23" s="35">
        <v>1</v>
      </c>
      <c r="W23" s="35">
        <v>0</v>
      </c>
      <c r="X23" s="35">
        <v>5</v>
      </c>
      <c r="Y23" s="35">
        <v>0</v>
      </c>
      <c r="Z23" s="35"/>
      <c r="AA23" s="35">
        <v>1</v>
      </c>
      <c r="AB23" s="35">
        <v>1</v>
      </c>
      <c r="AC23" s="35">
        <v>0</v>
      </c>
      <c r="AD23" s="35"/>
      <c r="AE23" s="35"/>
      <c r="AF23" s="35"/>
      <c r="AG23" s="35"/>
      <c r="AH23" s="35"/>
      <c r="AI23" s="35"/>
      <c r="AJ23" s="35"/>
    </row>
    <row r="24" spans="1:36">
      <c r="A24" s="47" t="s">
        <v>26</v>
      </c>
      <c r="B24" s="48">
        <v>2</v>
      </c>
      <c r="C24" s="48">
        <v>0</v>
      </c>
      <c r="D24" s="48">
        <v>5</v>
      </c>
      <c r="E24" s="48">
        <v>2</v>
      </c>
      <c r="F24" s="48"/>
      <c r="G24" s="48">
        <v>1</v>
      </c>
      <c r="H24" s="48">
        <v>0</v>
      </c>
      <c r="I24" s="48">
        <v>2</v>
      </c>
      <c r="J24" s="48">
        <v>0</v>
      </c>
      <c r="K24" s="49">
        <v>0</v>
      </c>
      <c r="L24" s="35"/>
      <c r="M24" s="35">
        <v>0</v>
      </c>
      <c r="N24" s="35">
        <v>0</v>
      </c>
      <c r="O24" s="35">
        <v>1</v>
      </c>
      <c r="P24" s="35">
        <v>0</v>
      </c>
      <c r="Q24" s="35">
        <v>0</v>
      </c>
      <c r="R24" s="35">
        <v>0</v>
      </c>
      <c r="S24" s="35">
        <v>0</v>
      </c>
      <c r="T24" s="35">
        <v>1</v>
      </c>
      <c r="U24" s="35">
        <v>0</v>
      </c>
      <c r="V24" s="35">
        <v>0</v>
      </c>
      <c r="W24" s="35">
        <v>0</v>
      </c>
      <c r="X24" s="35">
        <v>5</v>
      </c>
      <c r="Y24" s="35">
        <v>0</v>
      </c>
      <c r="Z24" s="35"/>
      <c r="AA24" s="35">
        <v>0</v>
      </c>
      <c r="AB24" s="35">
        <v>1</v>
      </c>
      <c r="AC24" s="35">
        <v>0</v>
      </c>
      <c r="AD24" s="35"/>
      <c r="AE24" s="35"/>
      <c r="AF24" s="35"/>
      <c r="AG24" s="35"/>
      <c r="AH24" s="35"/>
      <c r="AI24" s="35"/>
      <c r="AJ24" s="35"/>
    </row>
    <row r="25" spans="1:36">
      <c r="A25" s="54" t="s">
        <v>27</v>
      </c>
      <c r="B25" s="51">
        <v>2</v>
      </c>
      <c r="C25" s="51">
        <v>0</v>
      </c>
      <c r="D25" s="51">
        <v>5</v>
      </c>
      <c r="E25" s="51">
        <v>2</v>
      </c>
      <c r="F25" s="51"/>
      <c r="G25" s="51">
        <v>1</v>
      </c>
      <c r="H25" s="51">
        <v>1</v>
      </c>
      <c r="I25" s="51">
        <v>0</v>
      </c>
      <c r="J25" s="51">
        <v>0</v>
      </c>
      <c r="K25" s="52">
        <v>0</v>
      </c>
      <c r="L25" s="36"/>
      <c r="M25" s="36">
        <v>0</v>
      </c>
      <c r="N25" s="36">
        <v>0</v>
      </c>
      <c r="O25" s="36">
        <v>1</v>
      </c>
      <c r="P25" s="36">
        <v>0</v>
      </c>
      <c r="Q25" s="36">
        <v>0</v>
      </c>
      <c r="R25" s="36">
        <v>0</v>
      </c>
      <c r="S25" s="36">
        <v>1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/>
      <c r="AA25" s="36">
        <v>1</v>
      </c>
      <c r="AB25" s="36">
        <v>0</v>
      </c>
      <c r="AC25" s="36">
        <v>0</v>
      </c>
      <c r="AD25" s="36"/>
      <c r="AE25" s="36"/>
      <c r="AF25" s="36"/>
      <c r="AG25" s="36"/>
      <c r="AH25" s="36"/>
      <c r="AI25" s="36"/>
      <c r="AJ25" s="36"/>
    </row>
    <row r="26" spans="1:36">
      <c r="A26" s="53" t="s">
        <v>57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34"/>
      <c r="M26" s="34"/>
      <c r="N26" s="34"/>
      <c r="O26" s="34"/>
      <c r="P26" s="34"/>
      <c r="Q26" s="34"/>
      <c r="R26" s="34"/>
      <c r="S26" s="34"/>
      <c r="T26" s="35"/>
      <c r="U26" s="34"/>
      <c r="V26" s="34"/>
      <c r="Y26" s="35"/>
      <c r="Z26" s="35"/>
      <c r="AA26" s="35"/>
      <c r="AB26" s="35"/>
      <c r="AC26" s="35"/>
      <c r="AD26" s="35"/>
      <c r="AE26" s="34"/>
      <c r="AF26" s="34"/>
      <c r="AG26" s="34"/>
      <c r="AH26" s="34"/>
      <c r="AI26" s="34"/>
      <c r="AJ26" s="34"/>
    </row>
    <row r="27" spans="1:36">
      <c r="A27" s="47" t="s">
        <v>50</v>
      </c>
      <c r="B27" s="48"/>
      <c r="C27" s="48"/>
      <c r="D27" s="48"/>
      <c r="E27" s="48"/>
      <c r="F27" s="48"/>
      <c r="G27" s="48"/>
      <c r="H27" s="48"/>
      <c r="I27" s="48"/>
      <c r="J27" s="48"/>
      <c r="K27" s="49">
        <v>10</v>
      </c>
      <c r="L27" s="35"/>
      <c r="M27" s="35">
        <v>7</v>
      </c>
      <c r="N27" s="35">
        <v>8</v>
      </c>
      <c r="O27" s="35">
        <v>8</v>
      </c>
      <c r="P27" s="35">
        <v>5</v>
      </c>
      <c r="Q27" s="35">
        <v>6</v>
      </c>
      <c r="R27" s="35">
        <v>11</v>
      </c>
      <c r="S27" s="35">
        <v>13</v>
      </c>
      <c r="T27" s="18">
        <v>8</v>
      </c>
      <c r="U27" s="35">
        <v>11</v>
      </c>
      <c r="V27" s="35">
        <v>17</v>
      </c>
      <c r="W27" s="35">
        <v>18</v>
      </c>
      <c r="X27" s="35">
        <v>8</v>
      </c>
      <c r="Y27" s="35">
        <v>5</v>
      </c>
      <c r="Z27" s="35"/>
      <c r="AA27" s="35">
        <v>5</v>
      </c>
      <c r="AB27" s="35">
        <v>9</v>
      </c>
      <c r="AC27" s="35">
        <v>6</v>
      </c>
      <c r="AD27" s="35"/>
      <c r="AE27" s="35"/>
      <c r="AF27" s="35"/>
      <c r="AG27" s="35"/>
      <c r="AH27" s="35"/>
      <c r="AI27" s="35"/>
      <c r="AJ27" s="35"/>
    </row>
    <row r="28" spans="1:36">
      <c r="A28" s="47" t="s">
        <v>55</v>
      </c>
      <c r="B28" s="48"/>
      <c r="C28" s="48"/>
      <c r="D28" s="48"/>
      <c r="E28" s="48"/>
      <c r="F28" s="48"/>
      <c r="G28" s="48"/>
      <c r="H28" s="48"/>
      <c r="I28" s="48"/>
      <c r="J28" s="48"/>
      <c r="K28" s="49">
        <v>0</v>
      </c>
      <c r="L28" s="35"/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/>
      <c r="AA28" s="35">
        <v>0</v>
      </c>
      <c r="AB28" s="35">
        <v>1</v>
      </c>
      <c r="AC28" s="35">
        <v>0</v>
      </c>
      <c r="AD28" s="35"/>
      <c r="AE28" s="35"/>
      <c r="AF28" s="35"/>
      <c r="AG28" s="35"/>
      <c r="AH28" s="35"/>
      <c r="AI28" s="35"/>
      <c r="AJ28" s="35"/>
    </row>
    <row r="29" spans="1:36">
      <c r="A29" s="47" t="s">
        <v>25</v>
      </c>
      <c r="B29" s="48"/>
      <c r="C29" s="48"/>
      <c r="D29" s="48"/>
      <c r="E29" s="48"/>
      <c r="F29" s="48"/>
      <c r="G29" s="48"/>
      <c r="H29" s="48"/>
      <c r="I29" s="48"/>
      <c r="J29" s="48"/>
      <c r="K29" s="49">
        <v>0</v>
      </c>
      <c r="L29" s="35"/>
      <c r="M29" s="35">
        <v>0</v>
      </c>
      <c r="N29" s="35">
        <v>1</v>
      </c>
      <c r="O29" s="35">
        <v>1</v>
      </c>
      <c r="P29" s="35">
        <v>1</v>
      </c>
      <c r="Q29" s="35">
        <v>1</v>
      </c>
      <c r="R29" s="35">
        <v>1</v>
      </c>
      <c r="S29" s="35">
        <v>3</v>
      </c>
      <c r="T29" s="35">
        <v>1</v>
      </c>
      <c r="U29" s="35">
        <v>4</v>
      </c>
      <c r="V29" s="35">
        <v>7</v>
      </c>
      <c r="W29" s="35">
        <v>3</v>
      </c>
      <c r="X29" s="35">
        <v>0</v>
      </c>
      <c r="Y29" s="35">
        <v>1</v>
      </c>
      <c r="Z29" s="35"/>
      <c r="AA29" s="35">
        <v>1</v>
      </c>
      <c r="AB29" s="35">
        <v>1</v>
      </c>
      <c r="AC29" s="35">
        <v>0</v>
      </c>
      <c r="AD29" s="35"/>
      <c r="AE29" s="35"/>
      <c r="AF29" s="35"/>
      <c r="AG29" s="35"/>
      <c r="AH29" s="35"/>
      <c r="AI29" s="35"/>
      <c r="AJ29" s="35"/>
    </row>
    <row r="30" spans="1:36">
      <c r="A30" s="47" t="s">
        <v>26</v>
      </c>
      <c r="B30" s="48"/>
      <c r="C30" s="48"/>
      <c r="D30" s="48"/>
      <c r="E30" s="48"/>
      <c r="F30" s="48"/>
      <c r="G30" s="48"/>
      <c r="H30" s="48"/>
      <c r="I30" s="48"/>
      <c r="J30" s="48"/>
      <c r="K30" s="49">
        <v>0</v>
      </c>
      <c r="L30" s="35"/>
      <c r="M30" s="35">
        <v>0</v>
      </c>
      <c r="N30" s="35">
        <v>0</v>
      </c>
      <c r="O30" s="35">
        <v>1</v>
      </c>
      <c r="P30" s="35">
        <v>0</v>
      </c>
      <c r="Q30" s="35">
        <v>0</v>
      </c>
      <c r="R30" s="35">
        <v>0</v>
      </c>
      <c r="S30" s="35">
        <v>1</v>
      </c>
      <c r="T30" s="35">
        <v>0</v>
      </c>
      <c r="U30" s="35">
        <v>0</v>
      </c>
      <c r="V30" s="35">
        <v>1</v>
      </c>
      <c r="W30" s="35">
        <v>3</v>
      </c>
      <c r="X30" s="35">
        <v>0</v>
      </c>
      <c r="Y30" s="35">
        <v>1</v>
      </c>
      <c r="Z30" s="35"/>
      <c r="AA30" s="35">
        <v>1</v>
      </c>
      <c r="AB30" s="35">
        <v>1</v>
      </c>
      <c r="AC30" s="35">
        <v>0</v>
      </c>
      <c r="AD30" s="35"/>
      <c r="AE30" s="35"/>
      <c r="AF30" s="35"/>
      <c r="AG30" s="35"/>
      <c r="AH30" s="35"/>
      <c r="AI30" s="35"/>
      <c r="AJ30" s="35"/>
    </row>
    <row r="31" spans="1:36" ht="15" thickBot="1">
      <c r="A31" s="54" t="s">
        <v>27</v>
      </c>
      <c r="B31" s="51"/>
      <c r="C31" s="51"/>
      <c r="D31" s="51"/>
      <c r="E31" s="51"/>
      <c r="F31" s="51"/>
      <c r="G31" s="51"/>
      <c r="H31" s="51"/>
      <c r="I31" s="51"/>
      <c r="J31" s="51"/>
      <c r="K31" s="52">
        <v>0</v>
      </c>
      <c r="L31" s="36"/>
      <c r="M31" s="36">
        <v>0</v>
      </c>
      <c r="N31" s="36">
        <v>0</v>
      </c>
      <c r="O31" s="36">
        <v>0</v>
      </c>
      <c r="P31" s="36">
        <v>0</v>
      </c>
      <c r="Q31" s="36">
        <v>1</v>
      </c>
      <c r="R31" s="36">
        <v>1</v>
      </c>
      <c r="S31" s="36">
        <v>2</v>
      </c>
      <c r="T31" s="36">
        <v>1</v>
      </c>
      <c r="U31" s="36">
        <v>1</v>
      </c>
      <c r="V31" s="36">
        <v>1</v>
      </c>
      <c r="W31" s="36">
        <v>2</v>
      </c>
      <c r="X31" s="36">
        <v>0</v>
      </c>
      <c r="Y31" s="36">
        <v>0</v>
      </c>
      <c r="Z31" s="36"/>
      <c r="AA31" s="36">
        <v>1</v>
      </c>
      <c r="AB31" s="36">
        <v>0</v>
      </c>
      <c r="AC31" s="36">
        <v>0</v>
      </c>
      <c r="AD31" s="36"/>
      <c r="AE31" s="36"/>
      <c r="AF31" s="36"/>
      <c r="AG31" s="36"/>
      <c r="AH31" s="36"/>
      <c r="AI31" s="36"/>
      <c r="AJ31" s="55"/>
    </row>
    <row r="33" spans="1:29" s="40" customFormat="1">
      <c r="A33" s="45" t="s">
        <v>58</v>
      </c>
      <c r="B33" s="40">
        <f t="shared" ref="B33:J33" si="0">SUM(B3+B9+B15+B21)</f>
        <v>63</v>
      </c>
      <c r="C33" s="40">
        <f t="shared" si="0"/>
        <v>32</v>
      </c>
      <c r="D33" s="40">
        <f t="shared" si="0"/>
        <v>50</v>
      </c>
      <c r="E33" s="40">
        <f t="shared" si="0"/>
        <v>42</v>
      </c>
      <c r="F33" s="40">
        <f t="shared" si="0"/>
        <v>43</v>
      </c>
      <c r="G33" s="40">
        <f t="shared" si="0"/>
        <v>32</v>
      </c>
      <c r="H33" s="40">
        <f t="shared" si="0"/>
        <v>51</v>
      </c>
      <c r="I33" s="40">
        <f t="shared" si="0"/>
        <v>40</v>
      </c>
      <c r="J33" s="40">
        <f t="shared" si="0"/>
        <v>45</v>
      </c>
      <c r="K33" s="40">
        <f>SUM(K3+K9+K15+K21+K27)</f>
        <v>51</v>
      </c>
      <c r="M33" s="40">
        <f>SUM(M3+M9+M15+M21+M27)</f>
        <v>56</v>
      </c>
      <c r="N33" s="40">
        <f t="shared" ref="N33:S33" si="1">SUM(N3+N9+N15+N21+N27)</f>
        <v>41</v>
      </c>
      <c r="O33" s="40">
        <f t="shared" si="1"/>
        <v>56</v>
      </c>
      <c r="P33" s="40">
        <f>SUM(P3+P9+P15+P21+P27)</f>
        <v>50</v>
      </c>
      <c r="Q33" s="40">
        <f t="shared" si="1"/>
        <v>44</v>
      </c>
      <c r="R33" s="40">
        <f t="shared" si="1"/>
        <v>58</v>
      </c>
      <c r="S33" s="40">
        <f t="shared" si="1"/>
        <v>74</v>
      </c>
      <c r="T33" s="40">
        <f>SUM(T3+T9+T15+T21+T27)</f>
        <v>68</v>
      </c>
      <c r="U33" s="40">
        <f>SUM(U3+U9+U15+U21+U27)</f>
        <v>67</v>
      </c>
      <c r="V33" s="40">
        <f>SUM(V3+V9+V15+V21+V27)</f>
        <v>53</v>
      </c>
      <c r="W33" s="40">
        <f>SUM(W3+W9+W15+W21+W27)</f>
        <v>58</v>
      </c>
      <c r="X33" s="40">
        <f t="shared" ref="X33:AC33" si="2">SUM(X3+X9+X15+X21+X27)</f>
        <v>51</v>
      </c>
      <c r="Y33" s="40">
        <f t="shared" si="2"/>
        <v>38</v>
      </c>
      <c r="AA33" s="40">
        <f t="shared" si="2"/>
        <v>36</v>
      </c>
      <c r="AB33" s="40">
        <f t="shared" si="2"/>
        <v>39</v>
      </c>
      <c r="AC33" s="40">
        <f t="shared" si="2"/>
        <v>34</v>
      </c>
    </row>
    <row r="34" spans="1:29">
      <c r="A34" s="45" t="s">
        <v>59</v>
      </c>
      <c r="B34" s="18">
        <f t="shared" ref="B34:J34" si="3">SUM(B4+B10+B16+B22)</f>
        <v>6</v>
      </c>
      <c r="C34" s="18">
        <f t="shared" si="3"/>
        <v>0</v>
      </c>
      <c r="D34" s="18">
        <f t="shared" si="3"/>
        <v>7</v>
      </c>
      <c r="E34" s="18">
        <f t="shared" si="3"/>
        <v>7</v>
      </c>
      <c r="F34" s="18">
        <f t="shared" si="3"/>
        <v>7</v>
      </c>
      <c r="G34" s="18">
        <f t="shared" si="3"/>
        <v>4</v>
      </c>
      <c r="H34" s="18">
        <f t="shared" si="3"/>
        <v>7</v>
      </c>
      <c r="I34" s="18">
        <f t="shared" si="3"/>
        <v>3</v>
      </c>
      <c r="J34" s="18">
        <f t="shared" si="3"/>
        <v>5</v>
      </c>
      <c r="K34" s="18">
        <f>SUM(K4+K10+K16+K22+K28)</f>
        <v>4</v>
      </c>
      <c r="M34" s="18">
        <f t="shared" ref="M34:U34" si="4">SUM(M4+M10+M16+M22+M28)</f>
        <v>5</v>
      </c>
      <c r="N34" s="18">
        <f t="shared" si="4"/>
        <v>0</v>
      </c>
      <c r="O34" s="18">
        <f t="shared" si="4"/>
        <v>5</v>
      </c>
      <c r="P34" s="18">
        <f t="shared" si="4"/>
        <v>6</v>
      </c>
      <c r="Q34" s="18">
        <f t="shared" si="4"/>
        <v>0</v>
      </c>
      <c r="R34" s="18">
        <v>7</v>
      </c>
      <c r="S34" s="18">
        <f t="shared" si="4"/>
        <v>10</v>
      </c>
      <c r="T34" s="18">
        <f t="shared" si="4"/>
        <v>9</v>
      </c>
      <c r="U34" s="18">
        <f t="shared" si="4"/>
        <v>14</v>
      </c>
      <c r="V34" s="18">
        <f t="shared" ref="V34:W34" si="5">SUM(V4+V10+V16+V22+V28)</f>
        <v>6</v>
      </c>
      <c r="W34" s="18">
        <f t="shared" si="5"/>
        <v>11</v>
      </c>
      <c r="X34" s="18">
        <f t="shared" ref="X34:AC34" si="6">SUM(X4+X10+X16+X22+X28)</f>
        <v>4</v>
      </c>
      <c r="Y34" s="18">
        <f t="shared" si="6"/>
        <v>5</v>
      </c>
      <c r="AA34" s="18">
        <f t="shared" si="6"/>
        <v>7</v>
      </c>
      <c r="AB34" s="18">
        <f t="shared" si="6"/>
        <v>4</v>
      </c>
      <c r="AC34" s="18">
        <f t="shared" si="6"/>
        <v>2</v>
      </c>
    </row>
    <row r="35" spans="1:29">
      <c r="A35" s="45" t="s">
        <v>60</v>
      </c>
      <c r="B35" s="18">
        <f t="shared" ref="B35:J35" si="7">SUM(B5+B11+B17+B23)</f>
        <v>22</v>
      </c>
      <c r="C35" s="18">
        <f t="shared" si="7"/>
        <v>4</v>
      </c>
      <c r="D35" s="18">
        <f t="shared" si="7"/>
        <v>12</v>
      </c>
      <c r="E35" s="18">
        <f t="shared" si="7"/>
        <v>7</v>
      </c>
      <c r="F35" s="18">
        <f t="shared" si="7"/>
        <v>5</v>
      </c>
      <c r="G35" s="18">
        <f t="shared" si="7"/>
        <v>3</v>
      </c>
      <c r="H35" s="18">
        <f t="shared" si="7"/>
        <v>12</v>
      </c>
      <c r="I35" s="18">
        <f t="shared" si="7"/>
        <v>8</v>
      </c>
      <c r="J35" s="18">
        <f t="shared" si="7"/>
        <v>8</v>
      </c>
      <c r="K35" s="18">
        <f>SUM(K5+K11+K17+K23+K29)</f>
        <v>3</v>
      </c>
      <c r="M35" s="18">
        <f t="shared" ref="M35:S35" si="8">SUM(M5+M11+M17+M23+M29)</f>
        <v>12</v>
      </c>
      <c r="N35" s="18">
        <f t="shared" si="8"/>
        <v>6</v>
      </c>
      <c r="O35" s="18">
        <f t="shared" si="8"/>
        <v>9</v>
      </c>
      <c r="P35" s="18">
        <f t="shared" si="8"/>
        <v>10</v>
      </c>
      <c r="Q35" s="18">
        <f t="shared" si="8"/>
        <v>10</v>
      </c>
      <c r="R35" s="18">
        <f t="shared" si="8"/>
        <v>8</v>
      </c>
      <c r="S35" s="18">
        <f t="shared" si="8"/>
        <v>10</v>
      </c>
      <c r="T35" s="18">
        <f>SUM(T5+T11+T17+T23+T29)</f>
        <v>13</v>
      </c>
      <c r="U35" s="18">
        <f>SUM(U5+U11+U17+U23+U29)</f>
        <v>16</v>
      </c>
      <c r="V35" s="18">
        <f>SUM(V5+V11+V17+V23+V29)</f>
        <v>9</v>
      </c>
      <c r="W35" s="18">
        <f>SUM(W5+W11+W17+W23+W29)</f>
        <v>8</v>
      </c>
      <c r="X35" s="18">
        <f t="shared" ref="X35:AC35" si="9">SUM(X5+X11+X17+X23+X29)</f>
        <v>7</v>
      </c>
      <c r="Y35" s="18">
        <f t="shared" si="9"/>
        <v>8</v>
      </c>
      <c r="AA35" s="18">
        <f t="shared" si="9"/>
        <v>4</v>
      </c>
      <c r="AB35" s="18">
        <f t="shared" si="9"/>
        <v>5</v>
      </c>
      <c r="AC35" s="18">
        <f t="shared" si="9"/>
        <v>2</v>
      </c>
    </row>
    <row r="36" spans="1:29">
      <c r="A36" s="45" t="s">
        <v>61</v>
      </c>
      <c r="B36" s="18">
        <f>SUM(B6+B12+B18+B24)</f>
        <v>9</v>
      </c>
      <c r="C36" s="18">
        <f>SUM(C6+C12+C18+C24)</f>
        <v>4</v>
      </c>
      <c r="D36" s="18">
        <f t="shared" ref="D36:J36" si="10">SUM(D6+D12+D18+D24)</f>
        <v>6</v>
      </c>
      <c r="E36" s="18">
        <f t="shared" si="10"/>
        <v>6</v>
      </c>
      <c r="F36" s="18">
        <f t="shared" si="10"/>
        <v>1</v>
      </c>
      <c r="G36" s="18">
        <f t="shared" si="10"/>
        <v>2</v>
      </c>
      <c r="H36" s="18">
        <f t="shared" si="10"/>
        <v>7</v>
      </c>
      <c r="I36" s="18">
        <f t="shared" si="10"/>
        <v>5</v>
      </c>
      <c r="J36" s="18">
        <f t="shared" si="10"/>
        <v>4</v>
      </c>
      <c r="K36" s="18">
        <f>SUM(K6+K12+K18+K24+K30)</f>
        <v>3</v>
      </c>
      <c r="M36" s="18">
        <f t="shared" ref="M36" si="11">SUM(M6+M12+M18+M24+M30)</f>
        <v>5</v>
      </c>
      <c r="N36" s="18">
        <f>SUM(N6+N12+N19+N24+N30)</f>
        <v>2</v>
      </c>
      <c r="O36" s="18">
        <f>SUM(O6+O12+O19+O24+O30)</f>
        <v>3</v>
      </c>
      <c r="P36" s="18">
        <f t="shared" ref="P36:U36" si="12">SUM(P6+P12+P19+P24+P30)</f>
        <v>2</v>
      </c>
      <c r="Q36" s="18">
        <f t="shared" si="12"/>
        <v>4</v>
      </c>
      <c r="R36" s="18">
        <f t="shared" si="12"/>
        <v>2</v>
      </c>
      <c r="S36" s="18">
        <f t="shared" si="12"/>
        <v>4</v>
      </c>
      <c r="T36" s="18">
        <f t="shared" si="12"/>
        <v>5</v>
      </c>
      <c r="U36" s="18">
        <f t="shared" si="12"/>
        <v>4</v>
      </c>
      <c r="V36" s="18">
        <f t="shared" ref="V36:W36" si="13">SUM(V6+V12+V19+V24+V30)</f>
        <v>2</v>
      </c>
      <c r="W36" s="18">
        <f t="shared" si="13"/>
        <v>3</v>
      </c>
      <c r="X36" s="18">
        <f t="shared" ref="X36:AC36" si="14">SUM(X6+X12+X19+X24+X30)</f>
        <v>5</v>
      </c>
      <c r="Y36" s="18">
        <f t="shared" si="14"/>
        <v>3</v>
      </c>
      <c r="AA36" s="18">
        <f t="shared" si="14"/>
        <v>2</v>
      </c>
      <c r="AB36" s="18">
        <f t="shared" si="14"/>
        <v>3</v>
      </c>
      <c r="AC36" s="18">
        <f t="shared" si="14"/>
        <v>2</v>
      </c>
    </row>
    <row r="37" spans="1:29">
      <c r="A37" s="45" t="s">
        <v>62</v>
      </c>
      <c r="B37" s="18">
        <f>SUM(B7+B13+B19+B25)</f>
        <v>9</v>
      </c>
      <c r="C37" s="18">
        <f t="shared" ref="C37:J37" si="15">SUM(C7+C13+C19+C25)</f>
        <v>3</v>
      </c>
      <c r="D37" s="18">
        <f t="shared" si="15"/>
        <v>5</v>
      </c>
      <c r="E37" s="18">
        <f t="shared" si="15"/>
        <v>5</v>
      </c>
      <c r="F37" s="18">
        <f t="shared" si="15"/>
        <v>0</v>
      </c>
      <c r="G37" s="18">
        <f t="shared" si="15"/>
        <v>1</v>
      </c>
      <c r="H37" s="18">
        <f t="shared" si="15"/>
        <v>2</v>
      </c>
      <c r="I37" s="18">
        <f t="shared" si="15"/>
        <v>4</v>
      </c>
      <c r="J37" s="18">
        <f t="shared" si="15"/>
        <v>1</v>
      </c>
      <c r="K37" s="18">
        <f>SUM(K7+K13+K19+K25+K31)</f>
        <v>2</v>
      </c>
      <c r="M37" s="18">
        <f t="shared" ref="M37:U37" si="16">SUM(M7+M13+M19+M25+M31)</f>
        <v>2</v>
      </c>
      <c r="N37" s="18">
        <f t="shared" si="16"/>
        <v>2</v>
      </c>
      <c r="O37" s="18">
        <f t="shared" si="16"/>
        <v>2</v>
      </c>
      <c r="P37" s="18">
        <f t="shared" si="16"/>
        <v>3</v>
      </c>
      <c r="Q37" s="18">
        <f t="shared" si="16"/>
        <v>5</v>
      </c>
      <c r="R37" s="18">
        <f t="shared" si="16"/>
        <v>4</v>
      </c>
      <c r="S37" s="18">
        <f t="shared" si="16"/>
        <v>6</v>
      </c>
      <c r="T37" s="18">
        <f t="shared" si="16"/>
        <v>4</v>
      </c>
      <c r="U37" s="18">
        <f t="shared" si="16"/>
        <v>4</v>
      </c>
      <c r="V37" s="18">
        <f t="shared" ref="V37:W37" si="17">SUM(V7+V13+V19+V25+V31)</f>
        <v>2</v>
      </c>
      <c r="W37" s="18">
        <f t="shared" si="17"/>
        <v>2</v>
      </c>
      <c r="X37" s="18">
        <f t="shared" ref="X37:AC37" si="18">SUM(X7+X13+X19+X25+X31)</f>
        <v>0</v>
      </c>
      <c r="Y37" s="18">
        <f t="shared" si="18"/>
        <v>0</v>
      </c>
      <c r="AA37" s="18">
        <f t="shared" si="18"/>
        <v>4</v>
      </c>
      <c r="AB37" s="18">
        <f t="shared" si="18"/>
        <v>2</v>
      </c>
      <c r="AC37" s="18">
        <f t="shared" si="18"/>
        <v>2</v>
      </c>
    </row>
    <row r="39" spans="1:29">
      <c r="A39" s="44" t="s">
        <v>63</v>
      </c>
    </row>
  </sheetData>
  <pageMargins left="0.7" right="0.7" top="0.78740157499999996" bottom="0.78740157499999996" header="0.3" footer="0.3"/>
  <pageSetup paperSize="9" orientation="portrait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AA5CC925E3E4149875B54AAE373D542" ma:contentTypeVersion="10" ma:contentTypeDescription="Ein neues Dokument erstellen." ma:contentTypeScope="" ma:versionID="2603898e6a0b3db475589e36a37aee03">
  <xsd:schema xmlns:xsd="http://www.w3.org/2001/XMLSchema" xmlns:xs="http://www.w3.org/2001/XMLSchema" xmlns:p="http://schemas.microsoft.com/office/2006/metadata/properties" xmlns:ns2="baf21b96-96fd-4986-a683-223e3e5bfda3" xmlns:ns3="f47876a8-9995-48e3-b0a9-1cd0ffd11694" targetNamespace="http://schemas.microsoft.com/office/2006/metadata/properties" ma:root="true" ma:fieldsID="5b67a85d46aa54fd4cd788d6aa43fa2b" ns2:_="" ns3:_="">
    <xsd:import namespace="baf21b96-96fd-4986-a683-223e3e5bfda3"/>
    <xsd:import namespace="f47876a8-9995-48e3-b0a9-1cd0ffd116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21b96-96fd-4986-a683-223e3e5bfd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876a8-9995-48e3-b0a9-1cd0ffd1169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18A4F9-B0B1-4217-A754-4975D1C8CC09}"/>
</file>

<file path=customXml/itemProps2.xml><?xml version="1.0" encoding="utf-8"?>
<ds:datastoreItem xmlns:ds="http://schemas.openxmlformats.org/officeDocument/2006/customXml" ds:itemID="{0B80E955-47F6-45CF-A5B3-AC5364C389A3}"/>
</file>

<file path=customXml/itemProps3.xml><?xml version="1.0" encoding="utf-8"?>
<ds:datastoreItem xmlns:ds="http://schemas.openxmlformats.org/officeDocument/2006/customXml" ds:itemID="{013B876D-1D85-4E3E-9485-4F1E77D46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Zeidler</dc:creator>
  <cp:keywords/>
  <dc:description/>
  <cp:lastModifiedBy>Technik Real Life</cp:lastModifiedBy>
  <cp:revision/>
  <dcterms:created xsi:type="dcterms:W3CDTF">2022-06-24T15:28:57Z</dcterms:created>
  <dcterms:modified xsi:type="dcterms:W3CDTF">2025-09-15T16:58:36Z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0x0101000AA5CC925E3E4149875B54AAE373D542</vt:lpwstr>
  </property>
</Properties>
</file>